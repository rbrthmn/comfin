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<sst xmlns="http://schemas.openxmlformats.org/spreadsheetml/2006/main" count="235" uniqueCount="112">
  <si>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</si>
  <si>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</si>
  <si>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</si>
  <si>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</si>
  <si>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</si>
  <si>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</si>
  <si>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</si>
  <si>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</si>
  <si>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</si>
  <si>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</si>
  <si>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</si>
  <si>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</si>
  <si>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</si>
  <si>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</si>
  <si>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</si>
  <si>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</si>
  <si>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</si>
  <si>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</si>
  <si>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</si>
  <si>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</si>
  <si>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</si>
  <si>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</si>
  <si>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</si>
  <si>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</si>
  <si>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</si>
  <si>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</si>
  <si>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</si>
  <si>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</si>
  <si>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caixa instantanea</t>
  </si>
  <si>
    <t>loteria</t>
  </si>
  <si>
    <t>mila</t>
  </si>
  <si>
    <t>wolfgang</t>
  </si>
  <si>
    <t>ice</t>
  </si>
  <si>
    <t>petit journal</t>
  </si>
  <si>
    <t xml:space="preserve">maria das gracas </t>
  </si>
  <si>
    <t>barretao</t>
  </si>
  <si>
    <t>isabela psi</t>
  </si>
  <si>
    <t>terapia</t>
  </si>
  <si>
    <t>roberto pic pay</t>
  </si>
  <si>
    <t>parcela show massive</t>
  </si>
  <si>
    <t>parcela show ye</t>
  </si>
  <si>
    <t>paula moreira</t>
  </si>
  <si>
    <t>breja</t>
  </si>
  <si>
    <t>isadora reis araujo</t>
  </si>
  <si>
    <t>ingresso + passagem</t>
  </si>
  <si>
    <t>Débito</t>
  </si>
  <si>
    <t>TOTAL</t>
  </si>
  <si>
    <t>Descrição</t>
  </si>
  <si>
    <t>Data de pagamento</t>
  </si>
  <si>
    <t>Válido até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</si>
  <si>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</si>
  <si>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</si>
  <si>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</si>
  <si>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</si>
  <si>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</si>
  <si>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</si>
  <si>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</si>
  <si>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</si>
  <si>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</si>
  <si>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</si>
  <si>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</si>
  <si>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ingresso show</t>
  </si>
  <si>
    <t>novembro</t>
  </si>
  <si>
    <t>ingresso show 2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</si>
  <si>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</si>
  <si>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</si>
  <si>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</si>
  <si>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</si>
  <si>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</si>
  <si>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</si>
  <si>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</si>
  <si>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</si>
  <si>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</si>
  <si>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</si>
  <si>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</si>
  <si>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</si>
  <si>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</si>
  <si>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</si>
  <si>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</si>
  <si>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</si>
  <si>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</si>
  <si>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</si>
  <si>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</si>
  <si>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</si>
  <si>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</si>
  <si>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</si>
  <si>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</si>
  <si>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</si>
  <si>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BTG Investimentos</t>
  </si>
  <si>
    <t>LFT Tesouro Selic 2028</t>
  </si>
  <si>
    <t>XP Investimentos</t>
  </si>
  <si>
    <t>CDB Banco Carrefour</t>
  </si>
  <si>
    <t>Itaú</t>
  </si>
  <si>
    <t>CDB LUSOBRASILEIROBM</t>
  </si>
  <si>
    <t>Tesouro Prefixado 2026</t>
  </si>
  <si>
    <t>Fundo de Investimento</t>
  </si>
  <si>
    <t>FII</t>
  </si>
  <si>
    <t>NuBank</t>
  </si>
  <si>
    <t>MXRF11 (Maxi Renda)</t>
  </si>
  <si>
    <t>TGAR11 (TG Ativo Real)</t>
  </si>
  <si>
    <t>VILG11 (Vinci Logística)</t>
  </si>
  <si>
    <t>Ações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</si>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</sst>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38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434343"/>
      <name val="Roboto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284E3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2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0" fontId="23" numFmtId="0" xfId="0" applyAlignment="1" applyFont="1">
      <alignment horizontal="right" shrinkToFit="0" vertical="bottom" wrapText="0"/>
    </xf>
    <xf borderId="0" fillId="8" fontId="24" numFmtId="0" xfId="0" applyAlignment="1" applyFill="1" applyFont="1">
      <alignment horizontal="right" readingOrder="0" shrinkToFit="0" vertical="center" wrapText="0"/>
    </xf>
    <xf borderId="0" fillId="8" fontId="23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5" numFmtId="0" xfId="0" applyAlignment="1" applyBorder="1" applyFill="1" applyFont="1">
      <alignment horizontal="left" readingOrder="0" shrinkToFit="0" vertical="center" wrapText="0"/>
    </xf>
    <xf borderId="2" fillId="9" fontId="25" numFmtId="0" xfId="0" applyAlignment="1" applyBorder="1" applyFont="1">
      <alignment horizontal="left" readingOrder="0" shrinkToFit="0" vertical="center" wrapText="0"/>
    </xf>
    <xf borderId="3" fillId="9" fontId="25" numFmtId="0" xfId="0" applyAlignment="1" applyBorder="1" applyFont="1">
      <alignment horizontal="left" readingOrder="0" shrinkToFit="0" vertical="center" wrapText="0"/>
    </xf>
    <xf borderId="0" fillId="0" fontId="26" numFmtId="0" xfId="0" applyFont="1"/>
    <xf borderId="4" fillId="10" fontId="27" numFmtId="0" xfId="0" applyAlignment="1" applyBorder="1" applyFill="1" applyFont="1">
      <alignment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6" fillId="10" fontId="27" numFmtId="0" xfId="0" applyAlignment="1" applyBorder="1" applyFont="1">
      <alignment horizontal="right" shrinkToFit="0" vertical="center" wrapText="0"/>
    </xf>
    <xf borderId="0" fillId="6" fontId="23" numFmtId="0" xfId="0" applyFont="1"/>
    <xf borderId="7" fillId="11" fontId="29" numFmtId="0" xfId="0" applyAlignment="1" applyBorder="1" applyFill="1" applyFont="1">
      <alignment shrinkToFit="0" vertical="bottom" wrapText="0"/>
    </xf>
    <xf borderId="8" fillId="11" fontId="29" numFmtId="0" xfId="0" applyAlignment="1" applyBorder="1" applyFont="1">
      <alignment shrinkToFit="0" vertical="bottom" wrapText="0"/>
    </xf>
    <xf borderId="8" fillId="11" fontId="29" numFmtId="164" xfId="0" applyAlignment="1" applyBorder="1" applyFont="1" applyNumberFormat="1">
      <alignment horizontal="right" readingOrder="0" shrinkToFit="0" vertical="bottom" wrapText="0"/>
    </xf>
    <xf borderId="8" fillId="11" fontId="29" numFmtId="0" xfId="0" applyAlignment="1" applyBorder="1" applyFont="1">
      <alignment horizontal="right" readingOrder="0" shrinkToFit="0" vertical="bottom" wrapText="0"/>
    </xf>
    <xf borderId="9" fillId="11" fontId="29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vertical="bottom"/>
    </xf>
    <xf borderId="8" fillId="11" fontId="29" numFmtId="0" xfId="0" applyAlignment="1" applyBorder="1" applyFont="1">
      <alignment horizontal="right" shrinkToFit="0" vertical="bottom" wrapText="0"/>
    </xf>
    <xf borderId="8" fillId="11" fontId="29" numFmtId="164" xfId="0" applyAlignment="1" applyBorder="1" applyFont="1" applyNumberFormat="1">
      <alignment horizontal="right" shrinkToFit="0" vertical="bottom" wrapText="0"/>
    </xf>
    <xf borderId="10" fillId="6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bottom" wrapText="0"/>
    </xf>
    <xf borderId="11" fillId="6" fontId="29" numFmtId="164" xfId="0" applyAlignment="1" applyBorder="1" applyFont="1" applyNumberFormat="1">
      <alignment horizontal="right" shrinkToFit="0" vertical="bottom" wrapText="0"/>
    </xf>
    <xf borderId="11" fillId="6" fontId="29" numFmtId="0" xfId="0" applyAlignment="1" applyBorder="1" applyFont="1">
      <alignment horizontal="right" shrinkToFit="0" vertical="bottom" wrapText="0"/>
    </xf>
    <xf borderId="12" fillId="6" fontId="29" numFmtId="0" xfId="0" applyAlignment="1" applyBorder="1" applyFont="1">
      <alignment horizontal="right" shrinkToFit="0" vertical="bottom" wrapText="0"/>
    </xf>
    <xf borderId="11" fillId="6" fontId="29" numFmtId="164" xfId="0" applyAlignment="1" applyBorder="1" applyFont="1" applyNumberFormat="1">
      <alignment horizontal="right" readingOrder="0" shrinkToFit="0" vertical="bottom" wrapText="0"/>
    </xf>
    <xf borderId="11" fillId="6" fontId="29" numFmtId="0" xfId="0" applyAlignment="1" applyBorder="1" applyFont="1">
      <alignment horizontal="right" readingOrder="0" shrinkToFit="0" vertical="bottom" wrapText="0"/>
    </xf>
    <xf borderId="7" fillId="0" fontId="29" numFmtId="0" xfId="0" applyAlignment="1" applyBorder="1" applyFont="1">
      <alignment shrinkToFit="0" vertical="center" wrapText="0"/>
    </xf>
    <xf borderId="8" fillId="0" fontId="29" numFmtId="0" xfId="0" applyAlignment="1" applyBorder="1" applyFont="1">
      <alignment shrinkToFit="0" vertical="center" wrapText="0"/>
    </xf>
    <xf borderId="8" fillId="0" fontId="29" numFmtId="164" xfId="0" applyAlignment="1" applyBorder="1" applyFont="1" applyNumberFormat="1">
      <alignment horizontal="right" shrinkToFit="0" vertical="center" wrapText="0"/>
    </xf>
    <xf borderId="8" fillId="0" fontId="29" numFmtId="0" xfId="0" applyAlignment="1" applyBorder="1" applyFont="1">
      <alignment horizontal="right" shrinkToFit="0" vertical="center" wrapText="0"/>
    </xf>
    <xf borderId="9" fillId="0" fontId="29" numFmtId="0" xfId="0" applyAlignment="1" applyBorder="1" applyFont="1">
      <alignment horizontal="right" shrinkToFit="0" vertical="center" wrapText="0"/>
    </xf>
    <xf borderId="10" fillId="6" fontId="29" numFmtId="0" xfId="0" applyAlignment="1" applyBorder="1" applyFont="1">
      <alignment shrinkToFit="0" vertical="center" wrapText="0"/>
    </xf>
    <xf borderId="11" fillId="6" fontId="29" numFmtId="0" xfId="0" applyAlignment="1" applyBorder="1" applyFont="1">
      <alignment shrinkToFit="0" vertical="center" wrapText="0"/>
    </xf>
    <xf borderId="11" fillId="6" fontId="29" numFmtId="164" xfId="0" applyAlignment="1" applyBorder="1" applyFont="1" applyNumberFormat="1">
      <alignment horizontal="right" shrinkToFit="0" vertical="center" wrapText="0"/>
    </xf>
    <xf borderId="11" fillId="6" fontId="29" numFmtId="0" xfId="0" applyAlignment="1" applyBorder="1" applyFont="1">
      <alignment horizontal="right" shrinkToFit="0" vertical="center" wrapText="0"/>
    </xf>
    <xf borderId="12" fillId="6" fontId="29" numFmtId="0" xfId="0" applyAlignment="1" applyBorder="1" applyFont="1">
      <alignment horizontal="right" shrinkToFit="0" vertical="center" wrapText="0"/>
    </xf>
    <xf borderId="7" fillId="11" fontId="29" numFmtId="0" xfId="0" applyAlignment="1" applyBorder="1" applyFont="1">
      <alignment shrinkToFit="0" vertical="center" wrapText="0"/>
    </xf>
    <xf borderId="8" fillId="11" fontId="29" numFmtId="0" xfId="0" applyAlignment="1" applyBorder="1" applyFont="1">
      <alignment shrinkToFit="0" vertical="center" wrapText="0"/>
    </xf>
    <xf borderId="8" fillId="11" fontId="29" numFmtId="164" xfId="0" applyAlignment="1" applyBorder="1" applyFont="1" applyNumberFormat="1">
      <alignment horizontal="right" shrinkToFit="0" vertical="center" wrapText="0"/>
    </xf>
    <xf borderId="8" fillId="11" fontId="29" numFmtId="0" xfId="0" applyAlignment="1" applyBorder="1" applyFont="1">
      <alignment horizontal="right" shrinkToFit="0" vertical="center" wrapText="0"/>
    </xf>
    <xf borderId="9" fillId="11" fontId="29" numFmtId="0" xfId="0" applyAlignment="1" applyBorder="1" applyFont="1">
      <alignment horizontal="right" shrinkToFit="0" vertical="center" wrapText="0"/>
    </xf>
    <xf borderId="5" fillId="10" fontId="28" numFmtId="165" xfId="0" applyAlignment="1" applyBorder="1" applyFont="1" applyNumberFormat="1">
      <alignment shrinkToFit="0" vertical="center" wrapText="0"/>
    </xf>
    <xf borderId="11" fillId="6" fontId="29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6" numFmtId="0" xfId="0" applyFont="1"/>
    <xf borderId="8" fillId="11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8" numFmtId="0" xfId="0" applyAlignment="1" applyBorder="1" applyFont="1">
      <alignment shrinkToFit="0" vertical="center" wrapText="0"/>
    </xf>
    <xf borderId="0" fillId="0" fontId="14" numFmtId="0" xfId="0" applyFont="1"/>
    <xf borderId="13" fillId="10" fontId="27" numFmtId="0" xfId="0" applyAlignment="1" applyBorder="1" applyFont="1">
      <alignment shrinkToFit="0" vertical="center" wrapText="0"/>
    </xf>
    <xf borderId="14" fillId="10" fontId="28" numFmtId="0" xfId="0" applyAlignment="1" applyBorder="1" applyFont="1">
      <alignment shrinkToFit="0" vertical="center" wrapText="0"/>
    </xf>
    <xf borderId="15" fillId="10" fontId="27" numFmtId="0" xfId="0" applyAlignment="1" applyBorder="1" applyFont="1">
      <alignment horizontal="right" shrinkToFit="0" vertical="center" wrapText="0"/>
    </xf>
    <xf borderId="0" fillId="6" fontId="30" numFmtId="0" xfId="0" applyAlignment="1" applyFont="1">
      <alignment horizontal="right" readingOrder="0"/>
    </xf>
    <xf borderId="0" fillId="0" fontId="31" numFmtId="0" xfId="0" applyAlignment="1" applyFont="1">
      <alignment horizontal="left" readingOrder="0" shrinkToFit="0" vertical="center" wrapText="0"/>
    </xf>
    <xf borderId="0" fillId="0" fontId="31" numFmtId="49" xfId="0" applyAlignment="1" applyFont="1" applyNumberFormat="1">
      <alignment horizontal="left" readingOrder="0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horizontal="left" readingOrder="0" shrinkToFit="0" vertical="center" wrapText="0"/>
    </xf>
    <xf borderId="0" fillId="12" fontId="33" numFmtId="0" xfId="0" applyAlignment="1" applyFill="1" applyFont="1">
      <alignment readingOrder="0" shrinkToFit="0" vertical="center" wrapText="0"/>
    </xf>
    <xf borderId="0" fillId="12" fontId="33" numFmtId="0" xfId="0" applyAlignment="1" applyFont="1">
      <alignment shrinkToFit="0" vertical="center" wrapText="0"/>
    </xf>
    <xf borderId="0" fillId="12" fontId="33" numFmtId="0" xfId="0" applyAlignment="1" applyFont="1">
      <alignment horizontal="center" readingOrder="0" shrinkToFit="0" vertical="center" wrapText="0"/>
    </xf>
    <xf borderId="0" fillId="12" fontId="33" numFmtId="0" xfId="0" applyAlignment="1" applyFont="1">
      <alignment readingOrder="0" shrinkToFit="0" vertical="center" wrapText="0"/>
    </xf>
    <xf borderId="0" fillId="0" fontId="32" numFmtId="0" xfId="0" applyAlignment="1" applyFont="1">
      <alignment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7" fontId="32" numFmtId="0" xfId="0" applyAlignment="1" applyFont="1">
      <alignment readingOrder="0" shrinkToFit="0" vertical="center" wrapText="0"/>
    </xf>
    <xf borderId="0" fillId="7" fontId="32" numFmtId="166" xfId="0" applyAlignment="1" applyFont="1" applyNumberFormat="1">
      <alignment readingOrder="0" shrinkToFit="0" vertical="center" wrapText="0"/>
    </xf>
    <xf borderId="0" fillId="7" fontId="32" numFmtId="165" xfId="0" applyAlignment="1" applyFont="1" applyNumberFormat="1">
      <alignment readingOrder="0" shrinkToFit="0" vertical="center" wrapText="0"/>
    </xf>
    <xf borderId="0" fillId="7" fontId="32" numFmtId="0" xfId="0" applyAlignment="1" applyFont="1">
      <alignment horizontal="center" readingOrder="0" shrinkToFit="0" vertical="center" wrapText="0"/>
    </xf>
    <xf borderId="0" fillId="7" fontId="32" numFmtId="0" xfId="0" applyAlignment="1" applyFont="1">
      <alignment readingOrder="0" shrinkToFit="0" vertical="center" wrapText="0"/>
    </xf>
    <xf borderId="16" fillId="7" fontId="35" numFmtId="0" xfId="0" applyAlignment="1" applyBorder="1" applyFont="1">
      <alignment readingOrder="0" shrinkToFit="0" vertical="center" wrapText="0"/>
    </xf>
    <xf borderId="17" fillId="7" fontId="36" numFmtId="0" xfId="0" applyAlignment="1" applyBorder="1" applyFont="1">
      <alignment shrinkToFit="0" vertical="center" wrapText="0"/>
    </xf>
    <xf borderId="17" fillId="7" fontId="36" numFmtId="165" xfId="0" applyAlignment="1" applyBorder="1" applyFont="1" applyNumberFormat="1">
      <alignment horizontal="right" shrinkToFit="0" vertical="center" wrapText="0"/>
    </xf>
    <xf borderId="17" fillId="7" fontId="36" numFmtId="0" xfId="0" applyAlignment="1" applyBorder="1" applyFont="1">
      <alignment horizontal="right" shrinkToFit="0" vertical="center" wrapText="0"/>
    </xf>
    <xf borderId="17" fillId="7" fontId="28" numFmtId="0" xfId="0" applyAlignment="1" applyBorder="1" applyFont="1">
      <alignment shrinkToFit="0" vertical="center" wrapText="0"/>
    </xf>
    <xf borderId="18" fillId="7" fontId="36" numFmtId="0" xfId="0" applyAlignment="1" applyBorder="1" applyFont="1">
      <alignment horizontal="center" readingOrder="0" shrinkToFit="0" vertical="center" wrapText="0"/>
    </xf>
    <xf borderId="0" fillId="7" fontId="36" numFmtId="0" xfId="0" applyAlignment="1" applyFont="1">
      <alignment horizontal="center" readingOrder="0" shrinkToFit="0" vertical="center" wrapText="0"/>
    </xf>
    <xf borderId="0" fillId="7" fontId="32" numFmtId="0" xfId="0" applyAlignment="1" applyFont="1">
      <alignment shrinkToFit="0" vertical="center" wrapText="0"/>
    </xf>
    <xf borderId="0" fillId="12" fontId="37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12" fontId="37" numFmtId="0" xfId="0" applyAlignment="1" applyFont="1">
      <alignment horizontal="center"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2" numFmtId="4" xfId="0" applyAlignment="1" applyFont="1" applyNumberFormat="1">
      <alignment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0" fontId="32" numFmtId="0" xfId="0" applyAlignment="1" applyFont="1">
      <alignment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28" numFmtId="0" xfId="0" applyAlignment="1" applyFont="1">
      <alignment vertical="bottom"/>
    </xf>
    <xf borderId="0" fillId="6" fontId="32" numFmtId="0" xfId="0" applyFont="1"/>
    <xf borderId="0" fillId="6" fontId="34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</c:dPt>
          <c:dPt>
            <c:idx val="20"/>
          </c:dPt>
          <c:dPt>
            <c:idx val="2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Investimentos!$A$2:$A$23</c:f>
            </c:strRef>
          </c:cat>
          <c:val>
            <c:numRef>
              <c:f>Investimentos!$L$2:$L$23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257175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Transações" name="Transações" id="1">
  <tableColumns count="4">
    <tableColumn name="a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6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46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4" displayName="Investimentos" name="Investimentos" id="4">
  <tableColumns count="12">
    <tableColumn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name="Valor Atual" id="9"/>
    <tableColumn name="Aparece?" id="10"/>
    <tableColumn name="Gráfico" id="11"/>
    <tableColumn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0.05049385182</v>
      </c>
      <c r="D2" s="9">
        <f>DIVIDE(D4, B4)</f>
        <v>0.2019754073</v>
      </c>
      <c r="E2" s="9">
        <f>DIVIDE(E4, B4)</f>
        <v>0.1999556532</v>
      </c>
      <c r="F2" s="9">
        <f>DIVIDE(F4, B4)</f>
        <v>0.2480784894</v>
      </c>
      <c r="G2" s="10">
        <f>DIVIDE(G4, B4)</f>
        <v>0</v>
      </c>
      <c r="H2" s="11">
        <f>DIVIDE(H4, B4)</f>
        <v>0.17135857</v>
      </c>
      <c r="I2" s="12">
        <f>SUM(1, -SUM(C2:H2))</f>
        <v>0.1281380282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5,05%</v>
      </c>
      <c r="D3" s="15" t="str">
        <f t="shared" si="1"/>
        <v>20,2%</v>
      </c>
      <c r="E3" s="15" t="str">
        <f t="shared" si="1"/>
        <v>20,%</v>
      </c>
      <c r="F3" s="15" t="str">
        <f t="shared" si="1"/>
        <v>24,81%</v>
      </c>
      <c r="G3" s="10" t="str">
        <f t="shared" si="1"/>
        <v>0,%</v>
      </c>
      <c r="H3" s="11" t="str">
        <f t="shared" si="1"/>
        <v>17,14%</v>
      </c>
      <c r="I3" s="12" t="str">
        <f t="shared" si="1"/>
        <v>12,81%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4555.01</v>
      </c>
      <c r="C4" s="9">
        <v>230.0</v>
      </c>
      <c r="D4" s="9">
        <v>920.0</v>
      </c>
      <c r="E4" s="9">
        <v>910.8</v>
      </c>
      <c r="F4" s="9">
        <v>1130.0</v>
      </c>
      <c r="G4" s="20">
        <v>0.0</v>
      </c>
      <c r="H4" s="21">
        <f>Gastos!D16</f>
        <v>780.54</v>
      </c>
      <c r="I4" s="22">
        <f>PRODUCT(B4, I2)</f>
        <v>583.67</v>
      </c>
      <c r="J4" s="8">
        <f>'Transações'!D21</f>
        <v>768</v>
      </c>
      <c r="K4" s="13">
        <f>SUM(I4:J4)</f>
        <v>1351.67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IFERROR(__xludf.DUMMYFUNCTION("importrange(""https://docs.google.com/spreadsheets/d/1broWORXG-dSgLEHWuFeoHN0zdDVzlfNizOE2ve9Itdk/edit?gid=0#gid=0"",""Geral!J11:J11"")"),-837.4200000000023)</f>
        <v>-837.42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584.26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4"/>
      <c r="B7" s="24"/>
      <c r="C7" s="24"/>
      <c r="D7" s="24"/>
      <c r="E7" s="24"/>
      <c r="F7" s="24"/>
      <c r="G7" s="24"/>
      <c r="H7" s="24"/>
      <c r="I7" s="34" t="s">
        <v>16</v>
      </c>
      <c r="J7" s="31">
        <v>386.77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2">
        <v>244.26</v>
      </c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6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7" t="s">
        <v>19</v>
      </c>
      <c r="J10" s="13">
        <f>SUM(H4,I4,J4,J5)</f>
        <v>1294.79</v>
      </c>
      <c r="K10" s="3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7" t="s">
        <v>20</v>
      </c>
      <c r="J11" s="29">
        <f>SUM(J10,-J6,-J7,-J8,J9)</f>
        <v>79.5</v>
      </c>
      <c r="K11" s="3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39"/>
      <c r="H12" s="39"/>
      <c r="I12" s="13"/>
      <c r="J12" s="3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8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1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0"/>
      <c r="H17" s="42"/>
      <c r="I17" s="13"/>
      <c r="J17" s="38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3"/>
      <c r="E19" s="43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4" t="s">
        <v>22</v>
      </c>
      <c r="B1" s="44" t="s">
        <v>23</v>
      </c>
      <c r="C1" s="44" t="s">
        <v>24</v>
      </c>
      <c r="D1" s="44" t="s">
        <v>13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2.5" customHeight="1" outlineLevel="1">
      <c r="A2" s="46" t="s">
        <v>25</v>
      </c>
      <c r="B2" s="47"/>
      <c r="C2" s="47" t="s">
        <v>26</v>
      </c>
      <c r="D2" s="47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 outlineLevel="1">
      <c r="A3" s="48" t="s">
        <v>27</v>
      </c>
      <c r="B3" s="49" t="s">
        <v>28</v>
      </c>
      <c r="C3" s="50" t="s">
        <v>29</v>
      </c>
      <c r="D3" s="51">
        <v>-12.0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ht="22.5" customHeight="1" outlineLevel="1">
      <c r="A4" s="53" t="s">
        <v>27</v>
      </c>
      <c r="B4" s="50" t="s">
        <v>30</v>
      </c>
      <c r="C4" s="50"/>
      <c r="D4" s="51">
        <v>752.0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 outlineLevel="1">
      <c r="A5" s="53" t="s">
        <v>27</v>
      </c>
      <c r="B5" s="50" t="s">
        <v>31</v>
      </c>
      <c r="C5" s="50" t="s">
        <v>32</v>
      </c>
      <c r="D5" s="51">
        <v>-70.0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 outlineLevel="1">
      <c r="A6" s="53" t="s">
        <v>27</v>
      </c>
      <c r="B6" s="50" t="s">
        <v>33</v>
      </c>
      <c r="C6" s="50"/>
      <c r="D6" s="51">
        <v>-10.0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ht="22.5" customHeight="1" outlineLevel="1">
      <c r="A7" s="48" t="s">
        <v>27</v>
      </c>
      <c r="B7" s="50" t="s">
        <v>34</v>
      </c>
      <c r="C7" s="50" t="s">
        <v>35</v>
      </c>
      <c r="D7" s="51">
        <v>-10.4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22.5" customHeight="1" outlineLevel="1">
      <c r="A8" s="46" t="s">
        <v>27</v>
      </c>
      <c r="B8" s="47" t="s">
        <v>36</v>
      </c>
      <c r="C8" s="54" t="s">
        <v>37</v>
      </c>
      <c r="D8" s="47">
        <v>-450.0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 outlineLevel="1">
      <c r="A9" s="48" t="s">
        <v>27</v>
      </c>
      <c r="B9" s="50" t="s">
        <v>38</v>
      </c>
      <c r="C9" s="50" t="s">
        <v>39</v>
      </c>
      <c r="D9" s="51">
        <v>-111.83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ht="22.5" customHeight="1" outlineLevel="1">
      <c r="A10" s="46" t="s">
        <v>27</v>
      </c>
      <c r="B10" s="47" t="s">
        <v>38</v>
      </c>
      <c r="C10" s="47" t="s">
        <v>40</v>
      </c>
      <c r="D10" s="47">
        <v>-185.36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 outlineLevel="1">
      <c r="A11" s="46" t="s">
        <v>27</v>
      </c>
      <c r="B11" s="54" t="s">
        <v>41</v>
      </c>
      <c r="C11" s="47" t="s">
        <v>42</v>
      </c>
      <c r="D11" s="47">
        <v>-20.0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 outlineLevel="1">
      <c r="A12" s="48" t="s">
        <v>27</v>
      </c>
      <c r="B12" s="50" t="s">
        <v>30</v>
      </c>
      <c r="C12" s="50"/>
      <c r="D12" s="51">
        <v>300.0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 ht="22.5" customHeight="1" outlineLevel="1">
      <c r="A13" s="46" t="s">
        <v>27</v>
      </c>
      <c r="B13" s="47" t="s">
        <v>43</v>
      </c>
      <c r="C13" s="47" t="s">
        <v>44</v>
      </c>
      <c r="D13" s="47">
        <v>585.59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 outlineLevel="1">
      <c r="A14" s="46" t="s">
        <v>27</v>
      </c>
      <c r="B14" s="47"/>
      <c r="C14" s="47"/>
      <c r="D14" s="47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 outlineLevel="1">
      <c r="A15" s="46" t="s">
        <v>27</v>
      </c>
      <c r="B15" s="47"/>
      <c r="C15" s="47"/>
      <c r="D15" s="4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 outlineLevel="1">
      <c r="A16" s="46" t="s">
        <v>27</v>
      </c>
      <c r="B16" s="47"/>
      <c r="C16" s="47"/>
      <c r="D16" s="5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22.5" customHeight="1" outlineLevel="1">
      <c r="A17" s="46"/>
      <c r="B17" s="47"/>
      <c r="C17" s="47"/>
      <c r="D17" s="5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22.5" customHeight="1" outlineLevel="1">
      <c r="A18" s="46"/>
      <c r="B18" s="47"/>
      <c r="C18" s="47"/>
      <c r="D18" s="5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22.5" customHeight="1" outlineLevel="1">
      <c r="A19" s="46" t="s">
        <v>45</v>
      </c>
      <c r="B19" s="47"/>
      <c r="C19" s="47"/>
      <c r="D19" s="5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22.5" customHeight="1" outlineLevel="1">
      <c r="A20" s="46"/>
      <c r="B20" s="47"/>
      <c r="C20" s="47"/>
      <c r="D20" s="5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22.5" customHeight="1">
      <c r="A21" s="56"/>
      <c r="B21" s="57"/>
      <c r="C21" s="58" t="s">
        <v>46</v>
      </c>
      <c r="D21" s="59">
        <f t="array" ref="D21">SUM(D2:INDIRECT(ADDRESS(ROW()-1,COLUMN())))</f>
        <v>768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</sheetData>
  <dataValidations>
    <dataValidation type="list" allowBlank="1" showErrorMessage="1" sqref="A2:A21">
      <formula1>"PIX,Débito,Resgate reserva,Saque,Depósito,Outro"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1" t="s">
        <v>47</v>
      </c>
      <c r="B1" s="62" t="s">
        <v>48</v>
      </c>
      <c r="C1" s="62" t="s">
        <v>49</v>
      </c>
      <c r="D1" s="61" t="s">
        <v>13</v>
      </c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</row>
    <row r="2" ht="22.5" customHeight="1">
      <c r="A2" s="50" t="s">
        <v>37</v>
      </c>
      <c r="B2" s="51"/>
      <c r="C2" s="51"/>
      <c r="D2" s="51">
        <v>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22.5" customHeight="1">
      <c r="A3" s="64" t="s">
        <v>50</v>
      </c>
      <c r="B3" s="51"/>
      <c r="C3" s="51"/>
      <c r="D3" s="51">
        <v>0.0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ht="22.5" customHeight="1">
      <c r="A4" s="50" t="s">
        <v>51</v>
      </c>
      <c r="B4" s="51">
        <v>10.0</v>
      </c>
      <c r="C4" s="50"/>
      <c r="D4" s="50">
        <v>0.0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22.5" customHeight="1">
      <c r="A5" s="50" t="s">
        <v>52</v>
      </c>
      <c r="B5" s="51"/>
      <c r="C5" s="50"/>
      <c r="D5" s="50">
        <v>80.0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22.5" customHeight="1">
      <c r="A6" s="65" t="s">
        <v>53</v>
      </c>
      <c r="B6" s="51"/>
      <c r="C6" s="51"/>
      <c r="D6" s="51">
        <v>300.0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22.5" customHeight="1">
      <c r="A7" s="50" t="s">
        <v>54</v>
      </c>
      <c r="B7" s="51">
        <v>5.0</v>
      </c>
      <c r="C7" s="50"/>
      <c r="D7" s="50">
        <v>26.9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22.5" customHeight="1">
      <c r="A8" s="65" t="s">
        <v>55</v>
      </c>
      <c r="B8" s="51"/>
      <c r="C8" s="51"/>
      <c r="D8" s="51">
        <v>19.9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2.5" customHeight="1">
      <c r="A9" s="50" t="s">
        <v>56</v>
      </c>
      <c r="B9" s="51"/>
      <c r="C9" s="50"/>
      <c r="D9" s="50">
        <v>15.0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2.5" customHeight="1">
      <c r="A10" s="50" t="s">
        <v>57</v>
      </c>
      <c r="B10" s="51"/>
      <c r="C10" s="51"/>
      <c r="D10" s="51">
        <v>14.99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22.5" customHeight="1">
      <c r="A11" s="50" t="s">
        <v>58</v>
      </c>
      <c r="B11" s="51"/>
      <c r="C11" s="51"/>
      <c r="D11" s="51">
        <v>10.56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22.5" customHeight="1">
      <c r="A12" s="50" t="s">
        <v>59</v>
      </c>
      <c r="B12" s="51">
        <v>10.0</v>
      </c>
      <c r="C12" s="51"/>
      <c r="D12" s="51">
        <v>10.0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22.5" customHeight="1">
      <c r="A13" s="50" t="s">
        <v>60</v>
      </c>
      <c r="B13" s="51"/>
      <c r="C13" s="51"/>
      <c r="D13" s="51">
        <v>6.0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22.5" customHeight="1">
      <c r="A14" s="50" t="s">
        <v>61</v>
      </c>
      <c r="B14" s="51"/>
      <c r="C14" s="51" t="s">
        <v>62</v>
      </c>
      <c r="D14" s="51">
        <v>111.83</v>
      </c>
      <c r="E14" s="66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22.5" customHeight="1">
      <c r="A15" s="50" t="s">
        <v>63</v>
      </c>
      <c r="B15" s="51"/>
      <c r="C15" s="51" t="s">
        <v>62</v>
      </c>
      <c r="D15" s="51">
        <v>185.36</v>
      </c>
      <c r="E15" s="66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22.5" customHeight="1">
      <c r="A16" s="67"/>
      <c r="B16" s="68" t="s">
        <v>46</v>
      </c>
      <c r="C16" s="69"/>
      <c r="D16" s="67">
        <f t="array" ref="D16">SUM(D2:INDIRECT(ADDRESS(ROW()-1,COLUMN())))</f>
        <v>780.54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</row>
    <row r="17">
      <c r="A17" s="70"/>
      <c r="B17" s="70"/>
      <c r="C17" s="70"/>
      <c r="D17" s="70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70"/>
      <c r="B18" s="70"/>
      <c r="C18" s="70"/>
      <c r="D18" s="70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70"/>
      <c r="B19" s="70"/>
      <c r="C19" s="70"/>
      <c r="D19" s="70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70"/>
      <c r="B20" s="70"/>
      <c r="C20" s="70"/>
      <c r="D20" s="70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70"/>
      <c r="B21" s="70"/>
      <c r="C21" s="70"/>
      <c r="D21" s="70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70"/>
      <c r="B22" s="70"/>
      <c r="C22" s="70"/>
      <c r="D22" s="70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70"/>
      <c r="B23" s="70"/>
      <c r="C23" s="70"/>
      <c r="D23" s="70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70"/>
      <c r="B24" s="70"/>
      <c r="C24" s="70"/>
      <c r="D24" s="70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70"/>
      <c r="B25" s="70"/>
      <c r="C25" s="70"/>
      <c r="D25" s="70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70"/>
      <c r="B26" s="70"/>
      <c r="C26" s="70"/>
      <c r="D26" s="70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70"/>
      <c r="B27" s="70"/>
      <c r="C27" s="70"/>
      <c r="D27" s="70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70"/>
      <c r="B28" s="70"/>
      <c r="C28" s="70"/>
      <c r="D28" s="70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70"/>
      <c r="B29" s="70"/>
      <c r="C29" s="70"/>
      <c r="D29" s="70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70"/>
      <c r="B30" s="70"/>
      <c r="C30" s="70"/>
      <c r="D30" s="70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70"/>
      <c r="B31" s="70"/>
      <c r="C31" s="70"/>
      <c r="D31" s="70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70"/>
      <c r="B32" s="70"/>
      <c r="C32" s="70"/>
      <c r="D32" s="70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70"/>
      <c r="B33" s="70"/>
      <c r="C33" s="70"/>
      <c r="D33" s="70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70"/>
      <c r="B34" s="70"/>
      <c r="C34" s="70"/>
      <c r="D34" s="70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70"/>
      <c r="B35" s="70"/>
      <c r="C35" s="70"/>
      <c r="D35" s="7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70"/>
      <c r="B36" s="70"/>
      <c r="C36" s="70"/>
      <c r="D36" s="70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70"/>
      <c r="B37" s="70"/>
      <c r="C37" s="70"/>
      <c r="D37" s="70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70"/>
      <c r="B38" s="70"/>
      <c r="C38" s="70"/>
      <c r="D38" s="70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70"/>
      <c r="B39" s="70"/>
      <c r="C39" s="70"/>
      <c r="D39" s="70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70"/>
      <c r="B40" s="70"/>
      <c r="C40" s="70"/>
      <c r="D40" s="70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70"/>
      <c r="B41" s="70"/>
      <c r="C41" s="70"/>
      <c r="D41" s="70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70"/>
      <c r="B42" s="70"/>
      <c r="C42" s="70"/>
      <c r="D42" s="70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70"/>
      <c r="B43" s="70"/>
      <c r="C43" s="70"/>
      <c r="D43" s="70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70"/>
      <c r="B44" s="70"/>
      <c r="C44" s="70"/>
      <c r="D44" s="70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70"/>
      <c r="B45" s="70"/>
      <c r="C45" s="70"/>
      <c r="D45" s="70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70"/>
      <c r="B46" s="70"/>
      <c r="C46" s="70"/>
      <c r="D46" s="70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70"/>
      <c r="B47" s="70"/>
      <c r="C47" s="70"/>
      <c r="D47" s="70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70"/>
      <c r="B48" s="70"/>
      <c r="C48" s="70"/>
      <c r="D48" s="70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70"/>
      <c r="B49" s="70"/>
      <c r="C49" s="70"/>
      <c r="D49" s="70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70"/>
      <c r="B50" s="70"/>
      <c r="C50" s="70"/>
      <c r="D50" s="70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70"/>
      <c r="B51" s="70"/>
      <c r="C51" s="70"/>
      <c r="D51" s="70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70"/>
      <c r="B52" s="70"/>
      <c r="C52" s="70"/>
      <c r="D52" s="70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70"/>
      <c r="B53" s="70"/>
      <c r="C53" s="70"/>
      <c r="D53" s="70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70"/>
      <c r="B54" s="70"/>
      <c r="C54" s="70"/>
      <c r="D54" s="70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70"/>
      <c r="B55" s="70"/>
      <c r="C55" s="70"/>
      <c r="D55" s="70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70"/>
      <c r="B56" s="70"/>
      <c r="C56" s="70"/>
      <c r="D56" s="70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70"/>
      <c r="B57" s="70"/>
      <c r="C57" s="70"/>
      <c r="D57" s="70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70"/>
      <c r="B58" s="70"/>
      <c r="C58" s="70"/>
      <c r="D58" s="70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70"/>
      <c r="B59" s="70"/>
      <c r="C59" s="70"/>
      <c r="D59" s="70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70"/>
      <c r="B60" s="70"/>
      <c r="C60" s="70"/>
      <c r="D60" s="70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70"/>
      <c r="B61" s="70"/>
      <c r="C61" s="70"/>
      <c r="D61" s="70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70"/>
      <c r="B62" s="70"/>
      <c r="C62" s="70"/>
      <c r="D62" s="70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70"/>
      <c r="B63" s="70"/>
      <c r="C63" s="70"/>
      <c r="D63" s="70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70"/>
      <c r="B64" s="70"/>
      <c r="C64" s="70"/>
      <c r="D64" s="70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70"/>
      <c r="B65" s="70"/>
      <c r="C65" s="70"/>
      <c r="D65" s="70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70"/>
      <c r="B66" s="70"/>
      <c r="C66" s="70"/>
      <c r="D66" s="70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70"/>
      <c r="B67" s="70"/>
      <c r="C67" s="70"/>
      <c r="D67" s="70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70"/>
      <c r="B68" s="70"/>
      <c r="C68" s="70"/>
      <c r="D68" s="70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70"/>
      <c r="B69" s="70"/>
      <c r="C69" s="70"/>
      <c r="D69" s="70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70"/>
      <c r="B70" s="70"/>
      <c r="C70" s="70"/>
      <c r="D70" s="70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70"/>
      <c r="B71" s="70"/>
      <c r="C71" s="70"/>
      <c r="D71" s="70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70"/>
      <c r="B72" s="70"/>
      <c r="C72" s="70"/>
      <c r="D72" s="70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70"/>
      <c r="B73" s="70"/>
      <c r="C73" s="70"/>
      <c r="D73" s="70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70"/>
      <c r="B74" s="70"/>
      <c r="C74" s="70"/>
      <c r="D74" s="70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70"/>
      <c r="B75" s="70"/>
      <c r="C75" s="70"/>
      <c r="D75" s="70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70"/>
      <c r="B76" s="70"/>
      <c r="C76" s="70"/>
      <c r="D76" s="70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70"/>
      <c r="B77" s="70"/>
      <c r="C77" s="70"/>
      <c r="D77" s="70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70"/>
      <c r="B78" s="70"/>
      <c r="C78" s="70"/>
      <c r="D78" s="70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70"/>
      <c r="B79" s="70"/>
      <c r="C79" s="70"/>
      <c r="D79" s="70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70"/>
      <c r="B80" s="70"/>
      <c r="C80" s="70"/>
      <c r="D80" s="70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70"/>
      <c r="B81" s="70"/>
      <c r="C81" s="70"/>
      <c r="D81" s="70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70"/>
      <c r="B82" s="70"/>
      <c r="C82" s="70"/>
      <c r="D82" s="70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70"/>
      <c r="B83" s="70"/>
      <c r="C83" s="70"/>
      <c r="D83" s="70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70"/>
      <c r="B84" s="70"/>
      <c r="C84" s="70"/>
      <c r="D84" s="70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70"/>
      <c r="B85" s="70"/>
      <c r="C85" s="70"/>
      <c r="D85" s="70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70"/>
      <c r="B86" s="70"/>
      <c r="C86" s="70"/>
      <c r="D86" s="70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70"/>
      <c r="B87" s="70"/>
      <c r="C87" s="70"/>
      <c r="D87" s="70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70"/>
      <c r="B88" s="70"/>
      <c r="C88" s="70"/>
      <c r="D88" s="70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70"/>
      <c r="B89" s="70"/>
      <c r="C89" s="70"/>
      <c r="D89" s="70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70"/>
      <c r="B90" s="70"/>
      <c r="C90" s="70"/>
      <c r="D90" s="70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70"/>
      <c r="B91" s="70"/>
      <c r="C91" s="70"/>
      <c r="D91" s="70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70"/>
      <c r="B92" s="70"/>
      <c r="C92" s="70"/>
      <c r="D92" s="70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70"/>
      <c r="B93" s="70"/>
      <c r="C93" s="70"/>
      <c r="D93" s="70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70"/>
      <c r="B94" s="70"/>
      <c r="C94" s="70"/>
      <c r="D94" s="70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70"/>
      <c r="B95" s="70"/>
      <c r="C95" s="70"/>
      <c r="D95" s="70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70"/>
      <c r="B96" s="70"/>
      <c r="C96" s="70"/>
      <c r="D96" s="70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70"/>
      <c r="B97" s="70"/>
      <c r="C97" s="70"/>
      <c r="D97" s="70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70"/>
      <c r="B98" s="70"/>
      <c r="C98" s="70"/>
      <c r="D98" s="70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70"/>
      <c r="B99" s="70"/>
      <c r="C99" s="70"/>
      <c r="D99" s="70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70"/>
      <c r="B100" s="70"/>
      <c r="C100" s="70"/>
      <c r="D100" s="70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70"/>
      <c r="B101" s="70"/>
      <c r="C101" s="70"/>
      <c r="D101" s="70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70"/>
      <c r="B102" s="70"/>
      <c r="C102" s="70"/>
      <c r="D102" s="70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70"/>
      <c r="B103" s="70"/>
      <c r="C103" s="70"/>
      <c r="D103" s="70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70"/>
      <c r="B104" s="70"/>
      <c r="C104" s="70"/>
      <c r="D104" s="70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70"/>
      <c r="B105" s="70"/>
      <c r="C105" s="70"/>
      <c r="D105" s="70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70"/>
      <c r="B106" s="70"/>
      <c r="C106" s="70"/>
      <c r="D106" s="70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70"/>
      <c r="B107" s="70"/>
      <c r="C107" s="70"/>
      <c r="D107" s="70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70"/>
      <c r="B108" s="70"/>
      <c r="C108" s="70"/>
      <c r="D108" s="70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70"/>
      <c r="B109" s="70"/>
      <c r="C109" s="70"/>
      <c r="D109" s="70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70"/>
      <c r="B110" s="70"/>
      <c r="C110" s="70"/>
      <c r="D110" s="70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70"/>
      <c r="B111" s="70"/>
      <c r="C111" s="70"/>
      <c r="D111" s="70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70"/>
      <c r="B112" s="70"/>
      <c r="C112" s="70"/>
      <c r="D112" s="70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70"/>
      <c r="B113" s="70"/>
      <c r="C113" s="70"/>
      <c r="D113" s="70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70"/>
      <c r="B114" s="70"/>
      <c r="C114" s="70"/>
      <c r="D114" s="70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70"/>
      <c r="B115" s="70"/>
      <c r="C115" s="70"/>
      <c r="D115" s="70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70"/>
      <c r="B116" s="70"/>
      <c r="C116" s="70"/>
      <c r="D116" s="70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70"/>
      <c r="B117" s="70"/>
      <c r="C117" s="70"/>
      <c r="D117" s="70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70"/>
      <c r="B118" s="70"/>
      <c r="C118" s="70"/>
      <c r="D118" s="70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70"/>
      <c r="B119" s="70"/>
      <c r="C119" s="70"/>
      <c r="D119" s="70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70"/>
      <c r="B120" s="70"/>
      <c r="C120" s="70"/>
      <c r="D120" s="70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70"/>
      <c r="B121" s="70"/>
      <c r="C121" s="70"/>
      <c r="D121" s="70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70"/>
      <c r="B122" s="70"/>
      <c r="C122" s="70"/>
      <c r="D122" s="70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70"/>
      <c r="B123" s="70"/>
      <c r="C123" s="70"/>
      <c r="D123" s="70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70"/>
      <c r="B124" s="70"/>
      <c r="C124" s="70"/>
      <c r="D124" s="70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70"/>
      <c r="B125" s="70"/>
      <c r="C125" s="70"/>
      <c r="D125" s="70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70"/>
      <c r="B126" s="70"/>
      <c r="C126" s="70"/>
      <c r="D126" s="70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70"/>
      <c r="B127" s="70"/>
      <c r="C127" s="70"/>
      <c r="D127" s="70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70"/>
      <c r="B128" s="70"/>
      <c r="C128" s="70"/>
      <c r="D128" s="70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70"/>
      <c r="B129" s="70"/>
      <c r="C129" s="70"/>
      <c r="D129" s="70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70"/>
      <c r="B130" s="70"/>
      <c r="C130" s="70"/>
      <c r="D130" s="70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70"/>
      <c r="B131" s="70"/>
      <c r="C131" s="70"/>
      <c r="D131" s="70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70"/>
      <c r="B132" s="70"/>
      <c r="C132" s="70"/>
      <c r="D132" s="70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70"/>
      <c r="B133" s="70"/>
      <c r="C133" s="70"/>
      <c r="D133" s="70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70"/>
      <c r="B134" s="70"/>
      <c r="C134" s="70"/>
      <c r="D134" s="70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70"/>
      <c r="B135" s="70"/>
      <c r="C135" s="70"/>
      <c r="D135" s="70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70"/>
      <c r="B136" s="70"/>
      <c r="C136" s="70"/>
      <c r="D136" s="70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70"/>
      <c r="B137" s="70"/>
      <c r="C137" s="70"/>
      <c r="D137" s="70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70"/>
      <c r="B138" s="70"/>
      <c r="C138" s="70"/>
      <c r="D138" s="70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70"/>
      <c r="B139" s="70"/>
      <c r="C139" s="70"/>
      <c r="D139" s="70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70"/>
      <c r="B140" s="70"/>
      <c r="C140" s="70"/>
      <c r="D140" s="70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70"/>
      <c r="B141" s="70"/>
      <c r="C141" s="70"/>
      <c r="D141" s="70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70"/>
      <c r="B142" s="70"/>
      <c r="C142" s="70"/>
      <c r="D142" s="70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70"/>
      <c r="B143" s="70"/>
      <c r="C143" s="70"/>
      <c r="D143" s="70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70"/>
      <c r="B144" s="70"/>
      <c r="C144" s="70"/>
      <c r="D144" s="70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70"/>
      <c r="B145" s="70"/>
      <c r="C145" s="70"/>
      <c r="D145" s="70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70"/>
      <c r="B146" s="70"/>
      <c r="C146" s="70"/>
      <c r="D146" s="70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70"/>
      <c r="B147" s="70"/>
      <c r="C147" s="70"/>
      <c r="D147" s="70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70"/>
      <c r="B148" s="70"/>
      <c r="C148" s="70"/>
      <c r="D148" s="70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70"/>
      <c r="B149" s="70"/>
      <c r="C149" s="70"/>
      <c r="D149" s="70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70"/>
      <c r="B150" s="70"/>
      <c r="C150" s="70"/>
      <c r="D150" s="70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70"/>
      <c r="B151" s="70"/>
      <c r="C151" s="70"/>
      <c r="D151" s="70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70"/>
      <c r="B152" s="70"/>
      <c r="C152" s="70"/>
      <c r="D152" s="70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70"/>
      <c r="B153" s="70"/>
      <c r="C153" s="70"/>
      <c r="D153" s="70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70"/>
      <c r="B154" s="70"/>
      <c r="C154" s="70"/>
      <c r="D154" s="70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70"/>
      <c r="B155" s="70"/>
      <c r="C155" s="70"/>
      <c r="D155" s="70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70"/>
      <c r="B156" s="70"/>
      <c r="C156" s="70"/>
      <c r="D156" s="70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70"/>
      <c r="B157" s="70"/>
      <c r="C157" s="70"/>
      <c r="D157" s="70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70"/>
      <c r="B158" s="70"/>
      <c r="C158" s="70"/>
      <c r="D158" s="70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70"/>
      <c r="B159" s="70"/>
      <c r="C159" s="70"/>
      <c r="D159" s="70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70"/>
      <c r="B160" s="70"/>
      <c r="C160" s="70"/>
      <c r="D160" s="70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70"/>
      <c r="B161" s="70"/>
      <c r="C161" s="70"/>
      <c r="D161" s="70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70"/>
      <c r="B162" s="70"/>
      <c r="C162" s="70"/>
      <c r="D162" s="70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70"/>
      <c r="B163" s="70"/>
      <c r="C163" s="70"/>
      <c r="D163" s="70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70"/>
      <c r="B164" s="70"/>
      <c r="C164" s="70"/>
      <c r="D164" s="70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70"/>
      <c r="B165" s="70"/>
      <c r="C165" s="70"/>
      <c r="D165" s="70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70"/>
      <c r="B166" s="70"/>
      <c r="C166" s="70"/>
      <c r="D166" s="70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70"/>
      <c r="B167" s="70"/>
      <c r="C167" s="70"/>
      <c r="D167" s="70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70"/>
      <c r="B168" s="70"/>
      <c r="C168" s="70"/>
      <c r="D168" s="70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70"/>
      <c r="B169" s="70"/>
      <c r="C169" s="70"/>
      <c r="D169" s="70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70"/>
      <c r="B170" s="70"/>
      <c r="C170" s="70"/>
      <c r="D170" s="70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70"/>
      <c r="B171" s="70"/>
      <c r="C171" s="70"/>
      <c r="D171" s="70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70"/>
      <c r="B172" s="70"/>
      <c r="C172" s="70"/>
      <c r="D172" s="70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70"/>
      <c r="B173" s="70"/>
      <c r="C173" s="70"/>
      <c r="D173" s="70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70"/>
      <c r="B174" s="70"/>
      <c r="C174" s="70"/>
      <c r="D174" s="70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70"/>
      <c r="B175" s="70"/>
      <c r="C175" s="70"/>
      <c r="D175" s="70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70"/>
      <c r="B176" s="70"/>
      <c r="C176" s="70"/>
      <c r="D176" s="70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70"/>
      <c r="B177" s="70"/>
      <c r="C177" s="70"/>
      <c r="D177" s="70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70"/>
      <c r="B178" s="70"/>
      <c r="C178" s="70"/>
      <c r="D178" s="70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70"/>
      <c r="B179" s="70"/>
      <c r="C179" s="70"/>
      <c r="D179" s="70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70"/>
      <c r="B180" s="70"/>
      <c r="C180" s="70"/>
      <c r="D180" s="70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70"/>
      <c r="B181" s="70"/>
      <c r="C181" s="70"/>
      <c r="D181" s="70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70"/>
      <c r="B182" s="70"/>
      <c r="C182" s="70"/>
      <c r="D182" s="70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70"/>
      <c r="B183" s="70"/>
      <c r="C183" s="70"/>
      <c r="D183" s="70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70"/>
      <c r="B184" s="70"/>
      <c r="C184" s="70"/>
      <c r="D184" s="70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70"/>
      <c r="B185" s="70"/>
      <c r="C185" s="70"/>
      <c r="D185" s="70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70"/>
      <c r="B186" s="70"/>
      <c r="C186" s="70"/>
      <c r="D186" s="70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70"/>
      <c r="B187" s="70"/>
      <c r="C187" s="70"/>
      <c r="D187" s="70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70"/>
      <c r="B188" s="70"/>
      <c r="C188" s="70"/>
      <c r="D188" s="70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70"/>
      <c r="B189" s="70"/>
      <c r="C189" s="70"/>
      <c r="D189" s="70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70"/>
      <c r="B190" s="70"/>
      <c r="C190" s="70"/>
      <c r="D190" s="70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70"/>
      <c r="B191" s="70"/>
      <c r="C191" s="70"/>
      <c r="D191" s="70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70"/>
      <c r="B192" s="70"/>
      <c r="C192" s="70"/>
      <c r="D192" s="70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70"/>
      <c r="B193" s="70"/>
      <c r="C193" s="70"/>
      <c r="D193" s="70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70"/>
      <c r="B194" s="70"/>
      <c r="C194" s="70"/>
      <c r="D194" s="70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70"/>
      <c r="B195" s="70"/>
      <c r="C195" s="70"/>
      <c r="D195" s="70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70"/>
      <c r="B196" s="70"/>
      <c r="C196" s="70"/>
      <c r="D196" s="70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70"/>
      <c r="B197" s="70"/>
      <c r="C197" s="70"/>
      <c r="D197" s="70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70"/>
      <c r="B198" s="70"/>
      <c r="C198" s="70"/>
      <c r="D198" s="70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70"/>
      <c r="B199" s="70"/>
      <c r="C199" s="70"/>
      <c r="D199" s="70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70"/>
      <c r="B200" s="70"/>
      <c r="C200" s="70"/>
      <c r="D200" s="70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70"/>
      <c r="B201" s="70"/>
      <c r="C201" s="70"/>
      <c r="D201" s="70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70"/>
      <c r="B202" s="70"/>
      <c r="C202" s="70"/>
      <c r="D202" s="70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70"/>
      <c r="B203" s="70"/>
      <c r="C203" s="70"/>
      <c r="D203" s="70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70"/>
      <c r="B204" s="70"/>
      <c r="C204" s="70"/>
      <c r="D204" s="70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70"/>
      <c r="B205" s="70"/>
      <c r="C205" s="70"/>
      <c r="D205" s="70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70"/>
      <c r="B206" s="70"/>
      <c r="C206" s="70"/>
      <c r="D206" s="70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70"/>
      <c r="B207" s="70"/>
      <c r="C207" s="70"/>
      <c r="D207" s="70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70"/>
      <c r="B208" s="70"/>
      <c r="C208" s="70"/>
      <c r="D208" s="70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70"/>
      <c r="B209" s="70"/>
      <c r="C209" s="70"/>
      <c r="D209" s="70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70"/>
      <c r="B210" s="70"/>
      <c r="C210" s="70"/>
      <c r="D210" s="70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70"/>
      <c r="B211" s="70"/>
      <c r="C211" s="70"/>
      <c r="D211" s="70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70"/>
      <c r="B212" s="70"/>
      <c r="C212" s="70"/>
      <c r="D212" s="70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70"/>
      <c r="B213" s="70"/>
      <c r="C213" s="70"/>
      <c r="D213" s="70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70"/>
      <c r="B214" s="70"/>
      <c r="C214" s="70"/>
      <c r="D214" s="70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70"/>
      <c r="B215" s="70"/>
      <c r="C215" s="70"/>
      <c r="D215" s="70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70"/>
      <c r="B216" s="70"/>
      <c r="C216" s="70"/>
      <c r="D216" s="70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70"/>
      <c r="B217" s="70"/>
      <c r="C217" s="70"/>
      <c r="D217" s="70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70"/>
      <c r="B218" s="70"/>
      <c r="C218" s="70"/>
      <c r="D218" s="70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70"/>
      <c r="B219" s="70"/>
      <c r="C219" s="70"/>
      <c r="D219" s="70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70"/>
      <c r="B220" s="70"/>
      <c r="C220" s="70"/>
      <c r="D220" s="70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70"/>
      <c r="B221" s="70"/>
      <c r="C221" s="70"/>
      <c r="D221" s="70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70"/>
      <c r="B222" s="70"/>
      <c r="C222" s="70"/>
      <c r="D222" s="70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70"/>
      <c r="B223" s="70"/>
      <c r="C223" s="70"/>
      <c r="D223" s="70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70"/>
      <c r="B224" s="70"/>
      <c r="C224" s="70"/>
      <c r="D224" s="70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70"/>
      <c r="B225" s="70"/>
      <c r="C225" s="70"/>
      <c r="D225" s="70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70"/>
      <c r="B226" s="70"/>
      <c r="C226" s="70"/>
      <c r="D226" s="70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70"/>
      <c r="B227" s="70"/>
      <c r="C227" s="70"/>
      <c r="D227" s="70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70"/>
      <c r="B228" s="70"/>
      <c r="C228" s="70"/>
      <c r="D228" s="70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70"/>
      <c r="B229" s="70"/>
      <c r="C229" s="70"/>
      <c r="D229" s="70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70"/>
      <c r="B230" s="70"/>
      <c r="C230" s="70"/>
      <c r="D230" s="70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70"/>
      <c r="B231" s="70"/>
      <c r="C231" s="70"/>
      <c r="D231" s="70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70"/>
      <c r="B232" s="70"/>
      <c r="C232" s="70"/>
      <c r="D232" s="70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70"/>
      <c r="B233" s="70"/>
      <c r="C233" s="70"/>
      <c r="D233" s="70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70"/>
      <c r="B234" s="70"/>
      <c r="C234" s="70"/>
      <c r="D234" s="70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70"/>
      <c r="B235" s="70"/>
      <c r="C235" s="70"/>
      <c r="D235" s="70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70"/>
      <c r="B236" s="70"/>
      <c r="C236" s="70"/>
      <c r="D236" s="70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70"/>
      <c r="B237" s="70"/>
      <c r="C237" s="70"/>
      <c r="D237" s="70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70"/>
      <c r="B238" s="70"/>
      <c r="C238" s="70"/>
      <c r="D238" s="70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70"/>
      <c r="B239" s="70"/>
      <c r="C239" s="70"/>
      <c r="D239" s="70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70"/>
      <c r="B240" s="70"/>
      <c r="C240" s="70"/>
      <c r="D240" s="70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70"/>
      <c r="B241" s="70"/>
      <c r="C241" s="70"/>
      <c r="D241" s="70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70"/>
      <c r="B242" s="70"/>
      <c r="C242" s="70"/>
      <c r="D242" s="70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70"/>
      <c r="B243" s="70"/>
      <c r="C243" s="70"/>
      <c r="D243" s="70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70"/>
      <c r="B244" s="70"/>
      <c r="C244" s="70"/>
      <c r="D244" s="70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70"/>
      <c r="B245" s="70"/>
      <c r="C245" s="70"/>
      <c r="D245" s="70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70"/>
      <c r="B246" s="70"/>
      <c r="C246" s="70"/>
      <c r="D246" s="70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70"/>
      <c r="B247" s="70"/>
      <c r="C247" s="70"/>
      <c r="D247" s="70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70"/>
      <c r="B248" s="70"/>
      <c r="C248" s="70"/>
      <c r="D248" s="70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70"/>
      <c r="B249" s="70"/>
      <c r="C249" s="70"/>
      <c r="D249" s="70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70"/>
      <c r="B250" s="70"/>
      <c r="C250" s="70"/>
      <c r="D250" s="70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70"/>
      <c r="B251" s="70"/>
      <c r="C251" s="70"/>
      <c r="D251" s="70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70"/>
      <c r="B252" s="70"/>
      <c r="C252" s="70"/>
      <c r="D252" s="70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70"/>
      <c r="B253" s="70"/>
      <c r="C253" s="70"/>
      <c r="D253" s="70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70"/>
      <c r="B254" s="70"/>
      <c r="C254" s="70"/>
      <c r="D254" s="70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70"/>
      <c r="B255" s="70"/>
      <c r="C255" s="70"/>
      <c r="D255" s="70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70"/>
      <c r="B256" s="70"/>
      <c r="C256" s="70"/>
      <c r="D256" s="70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70"/>
      <c r="B257" s="70"/>
      <c r="C257" s="70"/>
      <c r="D257" s="70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70"/>
      <c r="B258" s="70"/>
      <c r="C258" s="70"/>
      <c r="D258" s="70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70"/>
      <c r="B259" s="70"/>
      <c r="C259" s="70"/>
      <c r="D259" s="70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70"/>
      <c r="B260" s="70"/>
      <c r="C260" s="70"/>
      <c r="D260" s="70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70"/>
      <c r="B261" s="70"/>
      <c r="C261" s="70"/>
      <c r="D261" s="70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70"/>
      <c r="B262" s="70"/>
      <c r="C262" s="70"/>
      <c r="D262" s="70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70"/>
      <c r="B263" s="70"/>
      <c r="C263" s="70"/>
      <c r="D263" s="70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70"/>
      <c r="B264" s="70"/>
      <c r="C264" s="70"/>
      <c r="D264" s="70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70"/>
      <c r="B265" s="70"/>
      <c r="C265" s="70"/>
      <c r="D265" s="70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70"/>
      <c r="B266" s="70"/>
      <c r="C266" s="70"/>
      <c r="D266" s="70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70"/>
      <c r="B267" s="70"/>
      <c r="C267" s="70"/>
      <c r="D267" s="70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70"/>
      <c r="B268" s="70"/>
      <c r="C268" s="70"/>
      <c r="D268" s="70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70"/>
      <c r="B269" s="70"/>
      <c r="C269" s="70"/>
      <c r="D269" s="70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70"/>
      <c r="B270" s="70"/>
      <c r="C270" s="70"/>
      <c r="D270" s="70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70"/>
      <c r="B271" s="70"/>
      <c r="C271" s="70"/>
      <c r="D271" s="70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70"/>
      <c r="B272" s="70"/>
      <c r="C272" s="70"/>
      <c r="D272" s="70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70"/>
      <c r="B273" s="70"/>
      <c r="C273" s="70"/>
      <c r="D273" s="70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70"/>
      <c r="B274" s="70"/>
      <c r="C274" s="70"/>
      <c r="D274" s="70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70"/>
      <c r="B275" s="70"/>
      <c r="C275" s="70"/>
      <c r="D275" s="70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70"/>
      <c r="B276" s="70"/>
      <c r="C276" s="70"/>
      <c r="D276" s="70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70"/>
      <c r="B277" s="70"/>
      <c r="C277" s="70"/>
      <c r="D277" s="70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70"/>
      <c r="B278" s="70"/>
      <c r="C278" s="70"/>
      <c r="D278" s="70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70"/>
      <c r="B279" s="70"/>
      <c r="C279" s="70"/>
      <c r="D279" s="70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70"/>
      <c r="B280" s="70"/>
      <c r="C280" s="70"/>
      <c r="D280" s="70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70"/>
      <c r="B281" s="70"/>
      <c r="C281" s="70"/>
      <c r="D281" s="70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70"/>
      <c r="B282" s="70"/>
      <c r="C282" s="70"/>
      <c r="D282" s="70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70"/>
      <c r="B283" s="70"/>
      <c r="C283" s="70"/>
      <c r="D283" s="70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70"/>
      <c r="B284" s="70"/>
      <c r="C284" s="70"/>
      <c r="D284" s="70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70"/>
      <c r="B285" s="70"/>
      <c r="C285" s="70"/>
      <c r="D285" s="70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70"/>
      <c r="B286" s="70"/>
      <c r="C286" s="70"/>
      <c r="D286" s="70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70"/>
      <c r="B287" s="70"/>
      <c r="C287" s="70"/>
      <c r="D287" s="70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70"/>
      <c r="B288" s="70"/>
      <c r="C288" s="70"/>
      <c r="D288" s="70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70"/>
      <c r="B289" s="70"/>
      <c r="C289" s="70"/>
      <c r="D289" s="70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70"/>
      <c r="B290" s="70"/>
      <c r="C290" s="70"/>
      <c r="D290" s="70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70"/>
      <c r="B291" s="70"/>
      <c r="C291" s="70"/>
      <c r="D291" s="70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70"/>
      <c r="B292" s="70"/>
      <c r="C292" s="70"/>
      <c r="D292" s="70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70"/>
      <c r="B293" s="70"/>
      <c r="C293" s="70"/>
      <c r="D293" s="70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70"/>
      <c r="B294" s="70"/>
      <c r="C294" s="70"/>
      <c r="D294" s="70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70"/>
      <c r="B295" s="70"/>
      <c r="C295" s="70"/>
      <c r="D295" s="70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70"/>
      <c r="B296" s="70"/>
      <c r="C296" s="70"/>
      <c r="D296" s="70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70"/>
      <c r="B297" s="70"/>
      <c r="C297" s="70"/>
      <c r="D297" s="70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70"/>
      <c r="B298" s="70"/>
      <c r="C298" s="70"/>
      <c r="D298" s="70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70"/>
      <c r="B299" s="70"/>
      <c r="C299" s="70"/>
      <c r="D299" s="70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70"/>
      <c r="B300" s="70"/>
      <c r="C300" s="70"/>
      <c r="D300" s="70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70"/>
      <c r="B301" s="70"/>
      <c r="C301" s="70"/>
      <c r="D301" s="70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70"/>
      <c r="B302" s="70"/>
      <c r="C302" s="70"/>
      <c r="D302" s="70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70"/>
      <c r="B303" s="70"/>
      <c r="C303" s="70"/>
      <c r="D303" s="70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70"/>
      <c r="B304" s="70"/>
      <c r="C304" s="70"/>
      <c r="D304" s="70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70"/>
      <c r="B305" s="70"/>
      <c r="C305" s="70"/>
      <c r="D305" s="70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70"/>
      <c r="B306" s="70"/>
      <c r="C306" s="70"/>
      <c r="D306" s="70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70"/>
      <c r="B307" s="70"/>
      <c r="C307" s="70"/>
      <c r="D307" s="70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70"/>
      <c r="B308" s="70"/>
      <c r="C308" s="70"/>
      <c r="D308" s="70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70"/>
      <c r="B309" s="70"/>
      <c r="C309" s="70"/>
      <c r="D309" s="70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70"/>
      <c r="B310" s="70"/>
      <c r="C310" s="70"/>
      <c r="D310" s="70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70"/>
      <c r="B311" s="70"/>
      <c r="C311" s="70"/>
      <c r="D311" s="70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70"/>
      <c r="B312" s="70"/>
      <c r="C312" s="70"/>
      <c r="D312" s="70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70"/>
      <c r="B313" s="70"/>
      <c r="C313" s="70"/>
      <c r="D313" s="70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70"/>
      <c r="B314" s="70"/>
      <c r="C314" s="70"/>
      <c r="D314" s="70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70"/>
      <c r="B315" s="70"/>
      <c r="C315" s="70"/>
      <c r="D315" s="70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70"/>
      <c r="B316" s="70"/>
      <c r="C316" s="70"/>
      <c r="D316" s="70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70"/>
      <c r="B317" s="70"/>
      <c r="C317" s="70"/>
      <c r="D317" s="70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70"/>
      <c r="B318" s="70"/>
      <c r="C318" s="70"/>
      <c r="D318" s="70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70"/>
      <c r="B319" s="70"/>
      <c r="C319" s="70"/>
      <c r="D319" s="70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70"/>
      <c r="B320" s="70"/>
      <c r="C320" s="70"/>
      <c r="D320" s="70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70"/>
      <c r="B321" s="70"/>
      <c r="C321" s="70"/>
      <c r="D321" s="70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70"/>
      <c r="B322" s="70"/>
      <c r="C322" s="70"/>
      <c r="D322" s="70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70"/>
      <c r="B323" s="70"/>
      <c r="C323" s="70"/>
      <c r="D323" s="70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70"/>
      <c r="B324" s="70"/>
      <c r="C324" s="70"/>
      <c r="D324" s="70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70"/>
      <c r="B325" s="70"/>
      <c r="C325" s="70"/>
      <c r="D325" s="70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70"/>
      <c r="B326" s="70"/>
      <c r="C326" s="70"/>
      <c r="D326" s="70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70"/>
      <c r="B327" s="70"/>
      <c r="C327" s="70"/>
      <c r="D327" s="70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70"/>
      <c r="B328" s="70"/>
      <c r="C328" s="70"/>
      <c r="D328" s="70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70"/>
      <c r="B329" s="70"/>
      <c r="C329" s="70"/>
      <c r="D329" s="70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70"/>
      <c r="B330" s="70"/>
      <c r="C330" s="70"/>
      <c r="D330" s="70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70"/>
      <c r="B331" s="70"/>
      <c r="C331" s="70"/>
      <c r="D331" s="70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70"/>
      <c r="B332" s="70"/>
      <c r="C332" s="70"/>
      <c r="D332" s="70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70"/>
      <c r="B333" s="70"/>
      <c r="C333" s="70"/>
      <c r="D333" s="70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70"/>
      <c r="B334" s="70"/>
      <c r="C334" s="70"/>
      <c r="D334" s="70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70"/>
      <c r="B335" s="70"/>
      <c r="C335" s="70"/>
      <c r="D335" s="70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70"/>
      <c r="B336" s="70"/>
      <c r="C336" s="70"/>
      <c r="D336" s="70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70"/>
      <c r="B337" s="70"/>
      <c r="C337" s="70"/>
      <c r="D337" s="70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70"/>
      <c r="B338" s="70"/>
      <c r="C338" s="70"/>
      <c r="D338" s="70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70"/>
      <c r="B339" s="70"/>
      <c r="C339" s="70"/>
      <c r="D339" s="70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70"/>
      <c r="B340" s="70"/>
      <c r="C340" s="70"/>
      <c r="D340" s="70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70"/>
      <c r="B341" s="70"/>
      <c r="C341" s="70"/>
      <c r="D341" s="70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70"/>
      <c r="B342" s="70"/>
      <c r="C342" s="70"/>
      <c r="D342" s="70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70"/>
      <c r="B343" s="70"/>
      <c r="C343" s="70"/>
      <c r="D343" s="70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70"/>
      <c r="B344" s="70"/>
      <c r="C344" s="70"/>
      <c r="D344" s="70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70"/>
      <c r="B345" s="70"/>
      <c r="C345" s="70"/>
      <c r="D345" s="70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70"/>
      <c r="B346" s="70"/>
      <c r="C346" s="70"/>
      <c r="D346" s="70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70"/>
      <c r="B347" s="70"/>
      <c r="C347" s="70"/>
      <c r="D347" s="70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70"/>
      <c r="B348" s="70"/>
      <c r="C348" s="70"/>
      <c r="D348" s="70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70"/>
      <c r="B349" s="70"/>
      <c r="C349" s="70"/>
      <c r="D349" s="70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70"/>
      <c r="B350" s="70"/>
      <c r="C350" s="70"/>
      <c r="D350" s="70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70"/>
      <c r="B351" s="70"/>
      <c r="C351" s="70"/>
      <c r="D351" s="70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70"/>
      <c r="B352" s="70"/>
      <c r="C352" s="70"/>
      <c r="D352" s="70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70"/>
      <c r="B353" s="70"/>
      <c r="C353" s="70"/>
      <c r="D353" s="70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70"/>
      <c r="B354" s="70"/>
      <c r="C354" s="70"/>
      <c r="D354" s="70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70"/>
      <c r="B355" s="70"/>
      <c r="C355" s="70"/>
      <c r="D355" s="70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70"/>
      <c r="B356" s="70"/>
      <c r="C356" s="70"/>
      <c r="D356" s="70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70"/>
      <c r="B357" s="70"/>
      <c r="C357" s="70"/>
      <c r="D357" s="70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70"/>
      <c r="B358" s="70"/>
      <c r="C358" s="70"/>
      <c r="D358" s="70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70"/>
      <c r="B359" s="70"/>
      <c r="C359" s="70"/>
      <c r="D359" s="70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70"/>
      <c r="B360" s="70"/>
      <c r="C360" s="70"/>
      <c r="D360" s="70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70"/>
      <c r="B361" s="70"/>
      <c r="C361" s="70"/>
      <c r="D361" s="70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70"/>
      <c r="B362" s="70"/>
      <c r="C362" s="70"/>
      <c r="D362" s="70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70"/>
      <c r="B363" s="70"/>
      <c r="C363" s="70"/>
      <c r="D363" s="70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70"/>
      <c r="B364" s="70"/>
      <c r="C364" s="70"/>
      <c r="D364" s="70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70"/>
      <c r="B365" s="70"/>
      <c r="C365" s="70"/>
      <c r="D365" s="70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70"/>
      <c r="B366" s="70"/>
      <c r="C366" s="70"/>
      <c r="D366" s="70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70"/>
      <c r="B367" s="70"/>
      <c r="C367" s="70"/>
      <c r="D367" s="70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70"/>
      <c r="B368" s="70"/>
      <c r="C368" s="70"/>
      <c r="D368" s="70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70"/>
      <c r="B369" s="70"/>
      <c r="C369" s="70"/>
      <c r="D369" s="70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70"/>
      <c r="B370" s="70"/>
      <c r="C370" s="70"/>
      <c r="D370" s="70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70"/>
      <c r="B371" s="70"/>
      <c r="C371" s="70"/>
      <c r="D371" s="70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70"/>
      <c r="B372" s="70"/>
      <c r="C372" s="70"/>
      <c r="D372" s="70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70"/>
      <c r="B373" s="70"/>
      <c r="C373" s="70"/>
      <c r="D373" s="70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70"/>
      <c r="B374" s="70"/>
      <c r="C374" s="70"/>
      <c r="D374" s="70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70"/>
      <c r="B375" s="70"/>
      <c r="C375" s="70"/>
      <c r="D375" s="70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70"/>
      <c r="B376" s="70"/>
      <c r="C376" s="70"/>
      <c r="D376" s="70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70"/>
      <c r="B377" s="70"/>
      <c r="C377" s="70"/>
      <c r="D377" s="70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70"/>
      <c r="B378" s="70"/>
      <c r="C378" s="70"/>
      <c r="D378" s="70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70"/>
      <c r="B379" s="70"/>
      <c r="C379" s="70"/>
      <c r="D379" s="70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70"/>
      <c r="B380" s="70"/>
      <c r="C380" s="70"/>
      <c r="D380" s="70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70"/>
      <c r="B381" s="70"/>
      <c r="C381" s="70"/>
      <c r="D381" s="70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70"/>
      <c r="B382" s="70"/>
      <c r="C382" s="70"/>
      <c r="D382" s="70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70"/>
      <c r="B383" s="70"/>
      <c r="C383" s="70"/>
      <c r="D383" s="70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70"/>
      <c r="B384" s="70"/>
      <c r="C384" s="70"/>
      <c r="D384" s="70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70"/>
      <c r="B385" s="70"/>
      <c r="C385" s="70"/>
      <c r="D385" s="70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70"/>
      <c r="B386" s="70"/>
      <c r="C386" s="70"/>
      <c r="D386" s="70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70"/>
      <c r="B387" s="70"/>
      <c r="C387" s="70"/>
      <c r="D387" s="70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70"/>
      <c r="B388" s="70"/>
      <c r="C388" s="70"/>
      <c r="D388" s="70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70"/>
      <c r="B389" s="70"/>
      <c r="C389" s="70"/>
      <c r="D389" s="70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70"/>
      <c r="B390" s="70"/>
      <c r="C390" s="70"/>
      <c r="D390" s="70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70"/>
      <c r="B391" s="70"/>
      <c r="C391" s="70"/>
      <c r="D391" s="70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70"/>
      <c r="B392" s="70"/>
      <c r="C392" s="70"/>
      <c r="D392" s="70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70"/>
      <c r="B393" s="70"/>
      <c r="C393" s="70"/>
      <c r="D393" s="70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70"/>
      <c r="B394" s="70"/>
      <c r="C394" s="70"/>
      <c r="D394" s="70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70"/>
      <c r="B395" s="70"/>
      <c r="C395" s="70"/>
      <c r="D395" s="70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70"/>
      <c r="B396" s="70"/>
      <c r="C396" s="70"/>
      <c r="D396" s="70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70"/>
      <c r="B397" s="70"/>
      <c r="C397" s="70"/>
      <c r="D397" s="70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70"/>
      <c r="B398" s="70"/>
      <c r="C398" s="70"/>
      <c r="D398" s="70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70"/>
      <c r="B399" s="70"/>
      <c r="C399" s="70"/>
      <c r="D399" s="70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70"/>
      <c r="B400" s="70"/>
      <c r="C400" s="70"/>
      <c r="D400" s="70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70"/>
      <c r="B401" s="70"/>
      <c r="C401" s="70"/>
      <c r="D401" s="70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70"/>
      <c r="B402" s="70"/>
      <c r="C402" s="70"/>
      <c r="D402" s="70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70"/>
      <c r="B403" s="70"/>
      <c r="C403" s="70"/>
      <c r="D403" s="70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70"/>
      <c r="B404" s="70"/>
      <c r="C404" s="70"/>
      <c r="D404" s="70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70"/>
      <c r="B405" s="70"/>
      <c r="C405" s="70"/>
      <c r="D405" s="70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70"/>
      <c r="B406" s="70"/>
      <c r="C406" s="70"/>
      <c r="D406" s="70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70"/>
      <c r="B407" s="70"/>
      <c r="C407" s="70"/>
      <c r="D407" s="70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70"/>
      <c r="B408" s="70"/>
      <c r="C408" s="70"/>
      <c r="D408" s="70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70"/>
      <c r="B409" s="70"/>
      <c r="C409" s="70"/>
      <c r="D409" s="70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70"/>
      <c r="B410" s="70"/>
      <c r="C410" s="70"/>
      <c r="D410" s="70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70"/>
      <c r="B411" s="70"/>
      <c r="C411" s="70"/>
      <c r="D411" s="70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70"/>
      <c r="B412" s="70"/>
      <c r="C412" s="70"/>
      <c r="D412" s="70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70"/>
      <c r="B413" s="70"/>
      <c r="C413" s="70"/>
      <c r="D413" s="70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70"/>
      <c r="B414" s="70"/>
      <c r="C414" s="70"/>
      <c r="D414" s="70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70"/>
      <c r="B415" s="70"/>
      <c r="C415" s="70"/>
      <c r="D415" s="70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70"/>
      <c r="B416" s="70"/>
      <c r="C416" s="70"/>
      <c r="D416" s="70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70"/>
      <c r="B417" s="70"/>
      <c r="C417" s="70"/>
      <c r="D417" s="70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70"/>
      <c r="B418" s="70"/>
      <c r="C418" s="70"/>
      <c r="D418" s="70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70"/>
      <c r="B419" s="70"/>
      <c r="C419" s="70"/>
      <c r="D419" s="70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70"/>
      <c r="B420" s="70"/>
      <c r="C420" s="70"/>
      <c r="D420" s="70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70"/>
      <c r="B421" s="70"/>
      <c r="C421" s="70"/>
      <c r="D421" s="70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70"/>
      <c r="B422" s="70"/>
      <c r="C422" s="70"/>
      <c r="D422" s="70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70"/>
      <c r="B423" s="70"/>
      <c r="C423" s="70"/>
      <c r="D423" s="70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70"/>
      <c r="B424" s="70"/>
      <c r="C424" s="70"/>
      <c r="D424" s="70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70"/>
      <c r="B425" s="70"/>
      <c r="C425" s="70"/>
      <c r="D425" s="70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70"/>
      <c r="B426" s="70"/>
      <c r="C426" s="70"/>
      <c r="D426" s="70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70"/>
      <c r="B427" s="70"/>
      <c r="C427" s="70"/>
      <c r="D427" s="70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70"/>
      <c r="B428" s="70"/>
      <c r="C428" s="70"/>
      <c r="D428" s="70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70"/>
      <c r="B429" s="70"/>
      <c r="C429" s="70"/>
      <c r="D429" s="70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70"/>
      <c r="B430" s="70"/>
      <c r="C430" s="70"/>
      <c r="D430" s="70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70"/>
      <c r="B431" s="70"/>
      <c r="C431" s="70"/>
      <c r="D431" s="70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70"/>
      <c r="B432" s="70"/>
      <c r="C432" s="70"/>
      <c r="D432" s="70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70"/>
      <c r="B433" s="70"/>
      <c r="C433" s="70"/>
      <c r="D433" s="70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70"/>
      <c r="B434" s="70"/>
      <c r="C434" s="70"/>
      <c r="D434" s="70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70"/>
      <c r="B435" s="70"/>
      <c r="C435" s="70"/>
      <c r="D435" s="70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70"/>
      <c r="B436" s="70"/>
      <c r="C436" s="70"/>
      <c r="D436" s="70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70"/>
      <c r="B437" s="70"/>
      <c r="C437" s="70"/>
      <c r="D437" s="70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70"/>
      <c r="B438" s="70"/>
      <c r="C438" s="70"/>
      <c r="D438" s="70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70"/>
      <c r="B439" s="70"/>
      <c r="C439" s="70"/>
      <c r="D439" s="70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70"/>
      <c r="B440" s="70"/>
      <c r="C440" s="70"/>
      <c r="D440" s="70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70"/>
      <c r="B441" s="70"/>
      <c r="C441" s="70"/>
      <c r="D441" s="70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70"/>
      <c r="B442" s="70"/>
      <c r="C442" s="70"/>
      <c r="D442" s="70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70"/>
      <c r="B443" s="70"/>
      <c r="C443" s="70"/>
      <c r="D443" s="70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70"/>
      <c r="B444" s="70"/>
      <c r="C444" s="70"/>
      <c r="D444" s="70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70"/>
      <c r="B445" s="70"/>
      <c r="C445" s="70"/>
      <c r="D445" s="70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70"/>
      <c r="B446" s="70"/>
      <c r="C446" s="70"/>
      <c r="D446" s="70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70"/>
      <c r="B447" s="70"/>
      <c r="C447" s="70"/>
      <c r="D447" s="70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70"/>
      <c r="B448" s="70"/>
      <c r="C448" s="70"/>
      <c r="D448" s="70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70"/>
      <c r="B449" s="70"/>
      <c r="C449" s="70"/>
      <c r="D449" s="70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70"/>
      <c r="B450" s="70"/>
      <c r="C450" s="70"/>
      <c r="D450" s="70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70"/>
      <c r="B451" s="70"/>
      <c r="C451" s="70"/>
      <c r="D451" s="70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70"/>
      <c r="B452" s="70"/>
      <c r="C452" s="70"/>
      <c r="D452" s="70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70"/>
      <c r="B453" s="70"/>
      <c r="C453" s="70"/>
      <c r="D453" s="70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70"/>
      <c r="B454" s="70"/>
      <c r="C454" s="70"/>
      <c r="D454" s="70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70"/>
      <c r="B455" s="70"/>
      <c r="C455" s="70"/>
      <c r="D455" s="70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70"/>
      <c r="B456" s="70"/>
      <c r="C456" s="70"/>
      <c r="D456" s="70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70"/>
      <c r="B457" s="70"/>
      <c r="C457" s="70"/>
      <c r="D457" s="70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70"/>
      <c r="B458" s="70"/>
      <c r="C458" s="70"/>
      <c r="D458" s="70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70"/>
      <c r="B459" s="70"/>
      <c r="C459" s="70"/>
      <c r="D459" s="70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70"/>
      <c r="B460" s="70"/>
      <c r="C460" s="70"/>
      <c r="D460" s="70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70"/>
      <c r="B461" s="70"/>
      <c r="C461" s="70"/>
      <c r="D461" s="70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70"/>
      <c r="B462" s="70"/>
      <c r="C462" s="70"/>
      <c r="D462" s="70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70"/>
      <c r="B463" s="70"/>
      <c r="C463" s="70"/>
      <c r="D463" s="70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70"/>
      <c r="B464" s="70"/>
      <c r="C464" s="70"/>
      <c r="D464" s="70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70"/>
      <c r="B465" s="70"/>
      <c r="C465" s="70"/>
      <c r="D465" s="70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70"/>
      <c r="B466" s="70"/>
      <c r="C466" s="70"/>
      <c r="D466" s="70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70"/>
      <c r="B467" s="70"/>
      <c r="C467" s="70"/>
      <c r="D467" s="70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70"/>
      <c r="B468" s="70"/>
      <c r="C468" s="70"/>
      <c r="D468" s="70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70"/>
      <c r="B469" s="70"/>
      <c r="C469" s="70"/>
      <c r="D469" s="70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70"/>
      <c r="B470" s="70"/>
      <c r="C470" s="70"/>
      <c r="D470" s="70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70"/>
      <c r="B471" s="70"/>
      <c r="C471" s="70"/>
      <c r="D471" s="70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70"/>
      <c r="B472" s="70"/>
      <c r="C472" s="70"/>
      <c r="D472" s="70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70"/>
      <c r="B473" s="70"/>
      <c r="C473" s="70"/>
      <c r="D473" s="70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70"/>
      <c r="B474" s="70"/>
      <c r="C474" s="70"/>
      <c r="D474" s="70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70"/>
      <c r="B475" s="70"/>
      <c r="C475" s="70"/>
      <c r="D475" s="70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70"/>
      <c r="B476" s="70"/>
      <c r="C476" s="70"/>
      <c r="D476" s="70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70"/>
      <c r="B477" s="70"/>
      <c r="C477" s="70"/>
      <c r="D477" s="70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70"/>
      <c r="B478" s="70"/>
      <c r="C478" s="70"/>
      <c r="D478" s="70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70"/>
      <c r="B479" s="70"/>
      <c r="C479" s="70"/>
      <c r="D479" s="70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70"/>
      <c r="B480" s="70"/>
      <c r="C480" s="70"/>
      <c r="D480" s="70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70"/>
      <c r="B481" s="70"/>
      <c r="C481" s="70"/>
      <c r="D481" s="70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70"/>
      <c r="B482" s="70"/>
      <c r="C482" s="70"/>
      <c r="D482" s="70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70"/>
      <c r="B483" s="70"/>
      <c r="C483" s="70"/>
      <c r="D483" s="70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70"/>
      <c r="B484" s="70"/>
      <c r="C484" s="70"/>
      <c r="D484" s="70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70"/>
      <c r="B485" s="70"/>
      <c r="C485" s="70"/>
      <c r="D485" s="70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70"/>
      <c r="B486" s="70"/>
      <c r="C486" s="70"/>
      <c r="D486" s="70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70"/>
      <c r="B487" s="70"/>
      <c r="C487" s="70"/>
      <c r="D487" s="70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70"/>
      <c r="B488" s="70"/>
      <c r="C488" s="70"/>
      <c r="D488" s="70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70"/>
      <c r="B489" s="70"/>
      <c r="C489" s="70"/>
      <c r="D489" s="70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70"/>
      <c r="B490" s="70"/>
      <c r="C490" s="70"/>
      <c r="D490" s="70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70"/>
      <c r="B491" s="70"/>
      <c r="C491" s="70"/>
      <c r="D491" s="70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70"/>
      <c r="B492" s="70"/>
      <c r="C492" s="70"/>
      <c r="D492" s="70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70"/>
      <c r="B493" s="70"/>
      <c r="C493" s="70"/>
      <c r="D493" s="70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70"/>
      <c r="B494" s="70"/>
      <c r="C494" s="70"/>
      <c r="D494" s="70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70"/>
      <c r="B495" s="70"/>
      <c r="C495" s="70"/>
      <c r="D495" s="70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70"/>
      <c r="B496" s="70"/>
      <c r="C496" s="70"/>
      <c r="D496" s="70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70"/>
      <c r="B497" s="70"/>
      <c r="C497" s="70"/>
      <c r="D497" s="70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70"/>
      <c r="B498" s="70"/>
      <c r="C498" s="70"/>
      <c r="D498" s="70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70"/>
      <c r="B499" s="70"/>
      <c r="C499" s="70"/>
      <c r="D499" s="70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70"/>
      <c r="B500" s="70"/>
      <c r="C500" s="70"/>
      <c r="D500" s="70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70"/>
      <c r="B501" s="70"/>
      <c r="C501" s="70"/>
      <c r="D501" s="70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70"/>
      <c r="B502" s="70"/>
      <c r="C502" s="70"/>
      <c r="D502" s="70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70"/>
      <c r="B503" s="70"/>
      <c r="C503" s="70"/>
      <c r="D503" s="70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70"/>
      <c r="B504" s="70"/>
      <c r="C504" s="70"/>
      <c r="D504" s="70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70"/>
      <c r="B505" s="70"/>
      <c r="C505" s="70"/>
      <c r="D505" s="70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70"/>
      <c r="B506" s="70"/>
      <c r="C506" s="70"/>
      <c r="D506" s="70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70"/>
      <c r="B507" s="70"/>
      <c r="C507" s="70"/>
      <c r="D507" s="70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70"/>
      <c r="B508" s="70"/>
      <c r="C508" s="70"/>
      <c r="D508" s="70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70"/>
      <c r="B509" s="70"/>
      <c r="C509" s="70"/>
      <c r="D509" s="70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70"/>
      <c r="B510" s="70"/>
      <c r="C510" s="70"/>
      <c r="D510" s="70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70"/>
      <c r="B511" s="70"/>
      <c r="C511" s="70"/>
      <c r="D511" s="70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70"/>
      <c r="B512" s="70"/>
      <c r="C512" s="70"/>
      <c r="D512" s="70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70"/>
      <c r="B513" s="70"/>
      <c r="C513" s="70"/>
      <c r="D513" s="70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70"/>
      <c r="B514" s="70"/>
      <c r="C514" s="70"/>
      <c r="D514" s="70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70"/>
      <c r="B515" s="70"/>
      <c r="C515" s="70"/>
      <c r="D515" s="70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70"/>
      <c r="B516" s="70"/>
      <c r="C516" s="70"/>
      <c r="D516" s="70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70"/>
      <c r="B517" s="70"/>
      <c r="C517" s="70"/>
      <c r="D517" s="70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70"/>
      <c r="B518" s="70"/>
      <c r="C518" s="70"/>
      <c r="D518" s="70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70"/>
      <c r="B519" s="70"/>
      <c r="C519" s="70"/>
      <c r="D519" s="70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70"/>
      <c r="B520" s="70"/>
      <c r="C520" s="70"/>
      <c r="D520" s="70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70"/>
      <c r="B521" s="70"/>
      <c r="C521" s="70"/>
      <c r="D521" s="70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70"/>
      <c r="B522" s="70"/>
      <c r="C522" s="70"/>
      <c r="D522" s="70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70"/>
      <c r="B523" s="70"/>
      <c r="C523" s="70"/>
      <c r="D523" s="70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70"/>
      <c r="B524" s="70"/>
      <c r="C524" s="70"/>
      <c r="D524" s="70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70"/>
      <c r="B525" s="70"/>
      <c r="C525" s="70"/>
      <c r="D525" s="70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70"/>
      <c r="B526" s="70"/>
      <c r="C526" s="70"/>
      <c r="D526" s="70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70"/>
      <c r="B527" s="70"/>
      <c r="C527" s="70"/>
      <c r="D527" s="70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70"/>
      <c r="B528" s="70"/>
      <c r="C528" s="70"/>
      <c r="D528" s="70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70"/>
      <c r="B529" s="70"/>
      <c r="C529" s="70"/>
      <c r="D529" s="70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70"/>
      <c r="B530" s="70"/>
      <c r="C530" s="70"/>
      <c r="D530" s="70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70"/>
      <c r="B531" s="70"/>
      <c r="C531" s="70"/>
      <c r="D531" s="70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70"/>
      <c r="B532" s="70"/>
      <c r="C532" s="70"/>
      <c r="D532" s="70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70"/>
      <c r="B533" s="70"/>
      <c r="C533" s="70"/>
      <c r="D533" s="70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70"/>
      <c r="B534" s="70"/>
      <c r="C534" s="70"/>
      <c r="D534" s="70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70"/>
      <c r="B535" s="70"/>
      <c r="C535" s="70"/>
      <c r="D535" s="70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70"/>
      <c r="B536" s="70"/>
      <c r="C536" s="70"/>
      <c r="D536" s="70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70"/>
      <c r="B537" s="70"/>
      <c r="C537" s="70"/>
      <c r="D537" s="70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70"/>
      <c r="B538" s="70"/>
      <c r="C538" s="70"/>
      <c r="D538" s="70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70"/>
      <c r="B539" s="70"/>
      <c r="C539" s="70"/>
      <c r="D539" s="70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70"/>
      <c r="B540" s="70"/>
      <c r="C540" s="70"/>
      <c r="D540" s="70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70"/>
      <c r="B541" s="70"/>
      <c r="C541" s="70"/>
      <c r="D541" s="70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70"/>
      <c r="B542" s="70"/>
      <c r="C542" s="70"/>
      <c r="D542" s="70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70"/>
      <c r="B543" s="70"/>
      <c r="C543" s="70"/>
      <c r="D543" s="70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70"/>
      <c r="B544" s="70"/>
      <c r="C544" s="70"/>
      <c r="D544" s="70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70"/>
      <c r="B545" s="70"/>
      <c r="C545" s="70"/>
      <c r="D545" s="70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70"/>
      <c r="B546" s="70"/>
      <c r="C546" s="70"/>
      <c r="D546" s="70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70"/>
      <c r="B547" s="70"/>
      <c r="C547" s="70"/>
      <c r="D547" s="70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70"/>
      <c r="B548" s="70"/>
      <c r="C548" s="70"/>
      <c r="D548" s="70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70"/>
      <c r="B549" s="70"/>
      <c r="C549" s="70"/>
      <c r="D549" s="70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70"/>
      <c r="B550" s="70"/>
      <c r="C550" s="70"/>
      <c r="D550" s="70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70"/>
      <c r="B551" s="70"/>
      <c r="C551" s="70"/>
      <c r="D551" s="70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70"/>
      <c r="B552" s="70"/>
      <c r="C552" s="70"/>
      <c r="D552" s="70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70"/>
      <c r="B553" s="70"/>
      <c r="C553" s="70"/>
      <c r="D553" s="70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70"/>
      <c r="B554" s="70"/>
      <c r="C554" s="70"/>
      <c r="D554" s="70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70"/>
      <c r="B555" s="70"/>
      <c r="C555" s="70"/>
      <c r="D555" s="70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70"/>
      <c r="B556" s="70"/>
      <c r="C556" s="70"/>
      <c r="D556" s="70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70"/>
      <c r="B557" s="70"/>
      <c r="C557" s="70"/>
      <c r="D557" s="70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70"/>
      <c r="B558" s="70"/>
      <c r="C558" s="70"/>
      <c r="D558" s="70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70"/>
      <c r="B559" s="70"/>
      <c r="C559" s="70"/>
      <c r="D559" s="70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70"/>
      <c r="B560" s="70"/>
      <c r="C560" s="70"/>
      <c r="D560" s="70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70"/>
      <c r="B561" s="70"/>
      <c r="C561" s="70"/>
      <c r="D561" s="70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70"/>
      <c r="B562" s="70"/>
      <c r="C562" s="70"/>
      <c r="D562" s="70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70"/>
      <c r="B563" s="70"/>
      <c r="C563" s="70"/>
      <c r="D563" s="70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70"/>
      <c r="B564" s="70"/>
      <c r="C564" s="70"/>
      <c r="D564" s="70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70"/>
      <c r="B565" s="70"/>
      <c r="C565" s="70"/>
      <c r="D565" s="70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70"/>
      <c r="B566" s="70"/>
      <c r="C566" s="70"/>
      <c r="D566" s="70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70"/>
      <c r="B567" s="70"/>
      <c r="C567" s="70"/>
      <c r="D567" s="70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70"/>
      <c r="B568" s="70"/>
      <c r="C568" s="70"/>
      <c r="D568" s="70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70"/>
      <c r="B569" s="70"/>
      <c r="C569" s="70"/>
      <c r="D569" s="70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70"/>
      <c r="B570" s="70"/>
      <c r="C570" s="70"/>
      <c r="D570" s="70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70"/>
      <c r="B571" s="70"/>
      <c r="C571" s="70"/>
      <c r="D571" s="70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70"/>
      <c r="B572" s="70"/>
      <c r="C572" s="70"/>
      <c r="D572" s="70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70"/>
      <c r="B573" s="70"/>
      <c r="C573" s="70"/>
      <c r="D573" s="70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70"/>
      <c r="B574" s="70"/>
      <c r="C574" s="70"/>
      <c r="D574" s="70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70"/>
      <c r="B575" s="70"/>
      <c r="C575" s="70"/>
      <c r="D575" s="70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70"/>
      <c r="B576" s="70"/>
      <c r="C576" s="70"/>
      <c r="D576" s="70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70"/>
      <c r="B577" s="70"/>
      <c r="C577" s="70"/>
      <c r="D577" s="70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70"/>
      <c r="B578" s="70"/>
      <c r="C578" s="70"/>
      <c r="D578" s="70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70"/>
      <c r="B579" s="70"/>
      <c r="C579" s="70"/>
      <c r="D579" s="70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70"/>
      <c r="B580" s="70"/>
      <c r="C580" s="70"/>
      <c r="D580" s="70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70"/>
      <c r="B581" s="70"/>
      <c r="C581" s="70"/>
      <c r="D581" s="70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70"/>
      <c r="B582" s="70"/>
      <c r="C582" s="70"/>
      <c r="D582" s="70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70"/>
      <c r="B583" s="70"/>
      <c r="C583" s="70"/>
      <c r="D583" s="70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70"/>
      <c r="B584" s="70"/>
      <c r="C584" s="70"/>
      <c r="D584" s="70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70"/>
      <c r="B585" s="70"/>
      <c r="C585" s="70"/>
      <c r="D585" s="70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70"/>
      <c r="B586" s="70"/>
      <c r="C586" s="70"/>
      <c r="D586" s="70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70"/>
      <c r="B587" s="70"/>
      <c r="C587" s="70"/>
      <c r="D587" s="70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70"/>
      <c r="B588" s="70"/>
      <c r="C588" s="70"/>
      <c r="D588" s="70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70"/>
      <c r="B589" s="70"/>
      <c r="C589" s="70"/>
      <c r="D589" s="70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70"/>
      <c r="B590" s="70"/>
      <c r="C590" s="70"/>
      <c r="D590" s="70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70"/>
      <c r="B591" s="70"/>
      <c r="C591" s="70"/>
      <c r="D591" s="70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70"/>
      <c r="B592" s="70"/>
      <c r="C592" s="70"/>
      <c r="D592" s="70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70"/>
      <c r="B593" s="70"/>
      <c r="C593" s="70"/>
      <c r="D593" s="70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70"/>
      <c r="B594" s="70"/>
      <c r="C594" s="70"/>
      <c r="D594" s="70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70"/>
      <c r="B595" s="70"/>
      <c r="C595" s="70"/>
      <c r="D595" s="70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70"/>
      <c r="B596" s="70"/>
      <c r="C596" s="70"/>
      <c r="D596" s="70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70"/>
      <c r="B597" s="70"/>
      <c r="C597" s="70"/>
      <c r="D597" s="70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70"/>
      <c r="B598" s="70"/>
      <c r="C598" s="70"/>
      <c r="D598" s="70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70"/>
      <c r="B599" s="70"/>
      <c r="C599" s="70"/>
      <c r="D599" s="70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70"/>
      <c r="B600" s="70"/>
      <c r="C600" s="70"/>
      <c r="D600" s="70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70"/>
      <c r="B601" s="70"/>
      <c r="C601" s="70"/>
      <c r="D601" s="70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70"/>
      <c r="B602" s="70"/>
      <c r="C602" s="70"/>
      <c r="D602" s="70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70"/>
      <c r="B603" s="70"/>
      <c r="C603" s="70"/>
      <c r="D603" s="70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70"/>
      <c r="B604" s="70"/>
      <c r="C604" s="70"/>
      <c r="D604" s="70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70"/>
      <c r="B605" s="70"/>
      <c r="C605" s="70"/>
      <c r="D605" s="70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70"/>
      <c r="B606" s="70"/>
      <c r="C606" s="70"/>
      <c r="D606" s="70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70"/>
      <c r="B607" s="70"/>
      <c r="C607" s="70"/>
      <c r="D607" s="70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70"/>
      <c r="B608" s="70"/>
      <c r="C608" s="70"/>
      <c r="D608" s="70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70"/>
      <c r="B609" s="70"/>
      <c r="C609" s="70"/>
      <c r="D609" s="70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70"/>
      <c r="B610" s="70"/>
      <c r="C610" s="70"/>
      <c r="D610" s="70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70"/>
      <c r="B611" s="70"/>
      <c r="C611" s="70"/>
      <c r="D611" s="70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70"/>
      <c r="B612" s="70"/>
      <c r="C612" s="70"/>
      <c r="D612" s="70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70"/>
      <c r="B613" s="70"/>
      <c r="C613" s="70"/>
      <c r="D613" s="70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70"/>
      <c r="B614" s="70"/>
      <c r="C614" s="70"/>
      <c r="D614" s="70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70"/>
      <c r="B615" s="70"/>
      <c r="C615" s="70"/>
      <c r="D615" s="70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70"/>
      <c r="B616" s="70"/>
      <c r="C616" s="70"/>
      <c r="D616" s="70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70"/>
      <c r="B617" s="70"/>
      <c r="C617" s="70"/>
      <c r="D617" s="70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70"/>
      <c r="B618" s="70"/>
      <c r="C618" s="70"/>
      <c r="D618" s="70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70"/>
      <c r="B619" s="70"/>
      <c r="C619" s="70"/>
      <c r="D619" s="70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70"/>
      <c r="B620" s="70"/>
      <c r="C620" s="70"/>
      <c r="D620" s="70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70"/>
      <c r="B621" s="70"/>
      <c r="C621" s="70"/>
      <c r="D621" s="70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70"/>
      <c r="B622" s="70"/>
      <c r="C622" s="70"/>
      <c r="D622" s="70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70"/>
      <c r="B623" s="70"/>
      <c r="C623" s="70"/>
      <c r="D623" s="70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70"/>
      <c r="B624" s="70"/>
      <c r="C624" s="70"/>
      <c r="D624" s="70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70"/>
      <c r="B625" s="70"/>
      <c r="C625" s="70"/>
      <c r="D625" s="70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70"/>
      <c r="B626" s="70"/>
      <c r="C626" s="70"/>
      <c r="D626" s="70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70"/>
      <c r="B627" s="70"/>
      <c r="C627" s="70"/>
      <c r="D627" s="70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70"/>
      <c r="B628" s="70"/>
      <c r="C628" s="70"/>
      <c r="D628" s="70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70"/>
      <c r="B629" s="70"/>
      <c r="C629" s="70"/>
      <c r="D629" s="70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70"/>
      <c r="B630" s="70"/>
      <c r="C630" s="70"/>
      <c r="D630" s="70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70"/>
      <c r="B631" s="70"/>
      <c r="C631" s="70"/>
      <c r="D631" s="70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70"/>
      <c r="B632" s="70"/>
      <c r="C632" s="70"/>
      <c r="D632" s="70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70"/>
      <c r="B633" s="70"/>
      <c r="C633" s="70"/>
      <c r="D633" s="70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70"/>
      <c r="B634" s="70"/>
      <c r="C634" s="70"/>
      <c r="D634" s="70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70"/>
      <c r="B635" s="70"/>
      <c r="C635" s="70"/>
      <c r="D635" s="70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70"/>
      <c r="B636" s="70"/>
      <c r="C636" s="70"/>
      <c r="D636" s="70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70"/>
      <c r="B637" s="70"/>
      <c r="C637" s="70"/>
      <c r="D637" s="70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70"/>
      <c r="B638" s="70"/>
      <c r="C638" s="70"/>
      <c r="D638" s="70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70"/>
      <c r="B639" s="70"/>
      <c r="C639" s="70"/>
      <c r="D639" s="70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70"/>
      <c r="B640" s="70"/>
      <c r="C640" s="70"/>
      <c r="D640" s="70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70"/>
      <c r="B641" s="70"/>
      <c r="C641" s="70"/>
      <c r="D641" s="70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70"/>
      <c r="B642" s="70"/>
      <c r="C642" s="70"/>
      <c r="D642" s="70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70"/>
      <c r="B643" s="70"/>
      <c r="C643" s="70"/>
      <c r="D643" s="70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70"/>
      <c r="B644" s="70"/>
      <c r="C644" s="70"/>
      <c r="D644" s="70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70"/>
      <c r="B645" s="70"/>
      <c r="C645" s="70"/>
      <c r="D645" s="70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70"/>
      <c r="B646" s="70"/>
      <c r="C646" s="70"/>
      <c r="D646" s="70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70"/>
      <c r="B647" s="70"/>
      <c r="C647" s="70"/>
      <c r="D647" s="70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70"/>
      <c r="B648" s="70"/>
      <c r="C648" s="70"/>
      <c r="D648" s="70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70"/>
      <c r="B649" s="70"/>
      <c r="C649" s="70"/>
      <c r="D649" s="70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70"/>
      <c r="B650" s="70"/>
      <c r="C650" s="70"/>
      <c r="D650" s="70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70"/>
      <c r="B651" s="70"/>
      <c r="C651" s="70"/>
      <c r="D651" s="70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70"/>
      <c r="B652" s="70"/>
      <c r="C652" s="70"/>
      <c r="D652" s="70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70"/>
      <c r="B653" s="70"/>
      <c r="C653" s="70"/>
      <c r="D653" s="70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70"/>
      <c r="B654" s="70"/>
      <c r="C654" s="70"/>
      <c r="D654" s="70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70"/>
      <c r="B655" s="70"/>
      <c r="C655" s="70"/>
      <c r="D655" s="70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70"/>
      <c r="B656" s="70"/>
      <c r="C656" s="70"/>
      <c r="D656" s="70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70"/>
      <c r="B657" s="70"/>
      <c r="C657" s="70"/>
      <c r="D657" s="70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70"/>
      <c r="B658" s="70"/>
      <c r="C658" s="70"/>
      <c r="D658" s="70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70"/>
      <c r="B659" s="70"/>
      <c r="C659" s="70"/>
      <c r="D659" s="70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70"/>
      <c r="B660" s="70"/>
      <c r="C660" s="70"/>
      <c r="D660" s="70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70"/>
      <c r="B661" s="70"/>
      <c r="C661" s="70"/>
      <c r="D661" s="70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70"/>
      <c r="B662" s="70"/>
      <c r="C662" s="70"/>
      <c r="D662" s="70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70"/>
      <c r="B663" s="70"/>
      <c r="C663" s="70"/>
      <c r="D663" s="70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70"/>
      <c r="B664" s="70"/>
      <c r="C664" s="70"/>
      <c r="D664" s="70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70"/>
      <c r="B665" s="70"/>
      <c r="C665" s="70"/>
      <c r="D665" s="70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70"/>
      <c r="B666" s="70"/>
      <c r="C666" s="70"/>
      <c r="D666" s="70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70"/>
      <c r="B667" s="70"/>
      <c r="C667" s="70"/>
      <c r="D667" s="70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70"/>
      <c r="B668" s="70"/>
      <c r="C668" s="70"/>
      <c r="D668" s="70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70"/>
      <c r="B669" s="70"/>
      <c r="C669" s="70"/>
      <c r="D669" s="70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70"/>
      <c r="B670" s="70"/>
      <c r="C670" s="70"/>
      <c r="D670" s="70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70"/>
      <c r="B671" s="70"/>
      <c r="C671" s="70"/>
      <c r="D671" s="70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70"/>
      <c r="B672" s="70"/>
      <c r="C672" s="70"/>
      <c r="D672" s="70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70"/>
      <c r="B673" s="70"/>
      <c r="C673" s="70"/>
      <c r="D673" s="70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70"/>
      <c r="B674" s="70"/>
      <c r="C674" s="70"/>
      <c r="D674" s="70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70"/>
      <c r="B675" s="70"/>
      <c r="C675" s="70"/>
      <c r="D675" s="70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70"/>
      <c r="B676" s="70"/>
      <c r="C676" s="70"/>
      <c r="D676" s="70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70"/>
      <c r="B677" s="70"/>
      <c r="C677" s="70"/>
      <c r="D677" s="70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70"/>
      <c r="B678" s="70"/>
      <c r="C678" s="70"/>
      <c r="D678" s="70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70"/>
      <c r="B679" s="70"/>
      <c r="C679" s="70"/>
      <c r="D679" s="70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70"/>
      <c r="B680" s="70"/>
      <c r="C680" s="70"/>
      <c r="D680" s="70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70"/>
      <c r="B681" s="70"/>
      <c r="C681" s="70"/>
      <c r="D681" s="70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70"/>
      <c r="B682" s="70"/>
      <c r="C682" s="70"/>
      <c r="D682" s="70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70"/>
      <c r="B683" s="70"/>
      <c r="C683" s="70"/>
      <c r="D683" s="70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70"/>
      <c r="B684" s="70"/>
      <c r="C684" s="70"/>
      <c r="D684" s="70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70"/>
      <c r="B685" s="70"/>
      <c r="C685" s="70"/>
      <c r="D685" s="70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70"/>
      <c r="B686" s="70"/>
      <c r="C686" s="70"/>
      <c r="D686" s="70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70"/>
      <c r="B687" s="70"/>
      <c r="C687" s="70"/>
      <c r="D687" s="70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70"/>
      <c r="B688" s="70"/>
      <c r="C688" s="70"/>
      <c r="D688" s="70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70"/>
      <c r="B689" s="70"/>
      <c r="C689" s="70"/>
      <c r="D689" s="70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70"/>
      <c r="B690" s="70"/>
      <c r="C690" s="70"/>
      <c r="D690" s="70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70"/>
      <c r="B691" s="70"/>
      <c r="C691" s="70"/>
      <c r="D691" s="70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70"/>
      <c r="B692" s="70"/>
      <c r="C692" s="70"/>
      <c r="D692" s="70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70"/>
      <c r="B693" s="70"/>
      <c r="C693" s="70"/>
      <c r="D693" s="70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70"/>
      <c r="B694" s="70"/>
      <c r="C694" s="70"/>
      <c r="D694" s="70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70"/>
      <c r="B695" s="70"/>
      <c r="C695" s="70"/>
      <c r="D695" s="70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70"/>
      <c r="B696" s="70"/>
      <c r="C696" s="70"/>
      <c r="D696" s="70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70"/>
      <c r="B697" s="70"/>
      <c r="C697" s="70"/>
      <c r="D697" s="70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70"/>
      <c r="B698" s="70"/>
      <c r="C698" s="70"/>
      <c r="D698" s="70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70"/>
      <c r="B699" s="70"/>
      <c r="C699" s="70"/>
      <c r="D699" s="70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70"/>
      <c r="B700" s="70"/>
      <c r="C700" s="70"/>
      <c r="D700" s="70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70"/>
      <c r="B701" s="70"/>
      <c r="C701" s="70"/>
      <c r="D701" s="70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70"/>
      <c r="B702" s="70"/>
      <c r="C702" s="70"/>
      <c r="D702" s="70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70"/>
      <c r="B703" s="70"/>
      <c r="C703" s="70"/>
      <c r="D703" s="70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70"/>
      <c r="B704" s="70"/>
      <c r="C704" s="70"/>
      <c r="D704" s="70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70"/>
      <c r="B705" s="70"/>
      <c r="C705" s="70"/>
      <c r="D705" s="70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70"/>
      <c r="B706" s="70"/>
      <c r="C706" s="70"/>
      <c r="D706" s="70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70"/>
      <c r="B707" s="70"/>
      <c r="C707" s="70"/>
      <c r="D707" s="70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70"/>
      <c r="B708" s="70"/>
      <c r="C708" s="70"/>
      <c r="D708" s="70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70"/>
      <c r="B709" s="70"/>
      <c r="C709" s="70"/>
      <c r="D709" s="70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70"/>
      <c r="B710" s="70"/>
      <c r="C710" s="70"/>
      <c r="D710" s="70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70"/>
      <c r="B711" s="70"/>
      <c r="C711" s="70"/>
      <c r="D711" s="70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70"/>
      <c r="B712" s="70"/>
      <c r="C712" s="70"/>
      <c r="D712" s="70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70"/>
      <c r="B713" s="70"/>
      <c r="C713" s="70"/>
      <c r="D713" s="70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70"/>
      <c r="B714" s="70"/>
      <c r="C714" s="70"/>
      <c r="D714" s="70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70"/>
      <c r="B715" s="70"/>
      <c r="C715" s="70"/>
      <c r="D715" s="70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70"/>
      <c r="B716" s="70"/>
      <c r="C716" s="70"/>
      <c r="D716" s="70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70"/>
      <c r="B717" s="70"/>
      <c r="C717" s="70"/>
      <c r="D717" s="70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70"/>
      <c r="B718" s="70"/>
      <c r="C718" s="70"/>
      <c r="D718" s="70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70"/>
      <c r="B719" s="70"/>
      <c r="C719" s="70"/>
      <c r="D719" s="70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70"/>
      <c r="B720" s="70"/>
      <c r="C720" s="70"/>
      <c r="D720" s="70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70"/>
      <c r="B721" s="70"/>
      <c r="C721" s="70"/>
      <c r="D721" s="70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70"/>
      <c r="B722" s="70"/>
      <c r="C722" s="70"/>
      <c r="D722" s="70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70"/>
      <c r="B723" s="70"/>
      <c r="C723" s="70"/>
      <c r="D723" s="70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70"/>
      <c r="B724" s="70"/>
      <c r="C724" s="70"/>
      <c r="D724" s="70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70"/>
      <c r="B725" s="70"/>
      <c r="C725" s="70"/>
      <c r="D725" s="70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70"/>
      <c r="B726" s="70"/>
      <c r="C726" s="70"/>
      <c r="D726" s="70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70"/>
      <c r="B727" s="70"/>
      <c r="C727" s="70"/>
      <c r="D727" s="70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70"/>
      <c r="B728" s="70"/>
      <c r="C728" s="70"/>
      <c r="D728" s="70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70"/>
      <c r="B729" s="70"/>
      <c r="C729" s="70"/>
      <c r="D729" s="70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70"/>
      <c r="B730" s="70"/>
      <c r="C730" s="70"/>
      <c r="D730" s="70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70"/>
      <c r="B731" s="70"/>
      <c r="C731" s="70"/>
      <c r="D731" s="70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70"/>
      <c r="B732" s="70"/>
      <c r="C732" s="70"/>
      <c r="D732" s="70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70"/>
      <c r="B733" s="70"/>
      <c r="C733" s="70"/>
      <c r="D733" s="70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70"/>
      <c r="B734" s="70"/>
      <c r="C734" s="70"/>
      <c r="D734" s="70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70"/>
      <c r="B735" s="70"/>
      <c r="C735" s="70"/>
      <c r="D735" s="70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70"/>
      <c r="B736" s="70"/>
      <c r="C736" s="70"/>
      <c r="D736" s="70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70"/>
      <c r="B737" s="70"/>
      <c r="C737" s="70"/>
      <c r="D737" s="70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70"/>
      <c r="B738" s="70"/>
      <c r="C738" s="70"/>
      <c r="D738" s="70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70"/>
      <c r="B739" s="70"/>
      <c r="C739" s="70"/>
      <c r="D739" s="70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70"/>
      <c r="B740" s="70"/>
      <c r="C740" s="70"/>
      <c r="D740" s="70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70"/>
      <c r="B741" s="70"/>
      <c r="C741" s="70"/>
      <c r="D741" s="70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70"/>
      <c r="B742" s="70"/>
      <c r="C742" s="70"/>
      <c r="D742" s="70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70"/>
      <c r="B743" s="70"/>
      <c r="C743" s="70"/>
      <c r="D743" s="70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70"/>
      <c r="B744" s="70"/>
      <c r="C744" s="70"/>
      <c r="D744" s="70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70"/>
      <c r="B745" s="70"/>
      <c r="C745" s="70"/>
      <c r="D745" s="70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70"/>
      <c r="B746" s="70"/>
      <c r="C746" s="70"/>
      <c r="D746" s="70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70"/>
      <c r="B747" s="70"/>
      <c r="C747" s="70"/>
      <c r="D747" s="70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70"/>
      <c r="B748" s="70"/>
      <c r="C748" s="70"/>
      <c r="D748" s="70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70"/>
      <c r="B749" s="70"/>
      <c r="C749" s="70"/>
      <c r="D749" s="70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70"/>
      <c r="B750" s="70"/>
      <c r="C750" s="70"/>
      <c r="D750" s="70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70"/>
      <c r="B751" s="70"/>
      <c r="C751" s="70"/>
      <c r="D751" s="70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70"/>
      <c r="B752" s="70"/>
      <c r="C752" s="70"/>
      <c r="D752" s="70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70"/>
      <c r="B753" s="70"/>
      <c r="C753" s="70"/>
      <c r="D753" s="70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70"/>
      <c r="B754" s="70"/>
      <c r="C754" s="70"/>
      <c r="D754" s="70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70"/>
      <c r="B755" s="70"/>
      <c r="C755" s="70"/>
      <c r="D755" s="70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70"/>
      <c r="B756" s="70"/>
      <c r="C756" s="70"/>
      <c r="D756" s="70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70"/>
      <c r="B757" s="70"/>
      <c r="C757" s="70"/>
      <c r="D757" s="70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70"/>
      <c r="B758" s="70"/>
      <c r="C758" s="70"/>
      <c r="D758" s="70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70"/>
      <c r="B759" s="70"/>
      <c r="C759" s="70"/>
      <c r="D759" s="70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70"/>
      <c r="B760" s="70"/>
      <c r="C760" s="70"/>
      <c r="D760" s="70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70"/>
      <c r="B761" s="70"/>
      <c r="C761" s="70"/>
      <c r="D761" s="70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70"/>
      <c r="B762" s="70"/>
      <c r="C762" s="70"/>
      <c r="D762" s="70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70"/>
      <c r="B763" s="70"/>
      <c r="C763" s="70"/>
      <c r="D763" s="70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70"/>
      <c r="B764" s="70"/>
      <c r="C764" s="70"/>
      <c r="D764" s="70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70"/>
      <c r="B765" s="70"/>
      <c r="C765" s="70"/>
      <c r="D765" s="70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70"/>
      <c r="B766" s="70"/>
      <c r="C766" s="70"/>
      <c r="D766" s="70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70"/>
      <c r="B767" s="70"/>
      <c r="C767" s="70"/>
      <c r="D767" s="70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70"/>
      <c r="B768" s="70"/>
      <c r="C768" s="70"/>
      <c r="D768" s="70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70"/>
      <c r="B769" s="70"/>
      <c r="C769" s="70"/>
      <c r="D769" s="70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70"/>
      <c r="B770" s="70"/>
      <c r="C770" s="70"/>
      <c r="D770" s="70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70"/>
      <c r="B771" s="70"/>
      <c r="C771" s="70"/>
      <c r="D771" s="70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70"/>
      <c r="B772" s="70"/>
      <c r="C772" s="70"/>
      <c r="D772" s="70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70"/>
      <c r="B773" s="70"/>
      <c r="C773" s="70"/>
      <c r="D773" s="70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70"/>
      <c r="B774" s="70"/>
      <c r="C774" s="70"/>
      <c r="D774" s="70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70"/>
      <c r="B775" s="70"/>
      <c r="C775" s="70"/>
      <c r="D775" s="70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70"/>
      <c r="B776" s="70"/>
      <c r="C776" s="70"/>
      <c r="D776" s="70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70"/>
      <c r="B777" s="70"/>
      <c r="C777" s="70"/>
      <c r="D777" s="70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70"/>
      <c r="B778" s="70"/>
      <c r="C778" s="70"/>
      <c r="D778" s="70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70"/>
      <c r="B779" s="70"/>
      <c r="C779" s="70"/>
      <c r="D779" s="70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70"/>
      <c r="B780" s="70"/>
      <c r="C780" s="70"/>
      <c r="D780" s="70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70"/>
      <c r="B781" s="70"/>
      <c r="C781" s="70"/>
      <c r="D781" s="70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70"/>
      <c r="B782" s="70"/>
      <c r="C782" s="70"/>
      <c r="D782" s="70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70"/>
      <c r="B783" s="70"/>
      <c r="C783" s="70"/>
      <c r="D783" s="70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70"/>
      <c r="B784" s="70"/>
      <c r="C784" s="70"/>
      <c r="D784" s="70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70"/>
      <c r="B785" s="70"/>
      <c r="C785" s="70"/>
      <c r="D785" s="70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70"/>
      <c r="B786" s="70"/>
      <c r="C786" s="70"/>
      <c r="D786" s="70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70"/>
      <c r="B787" s="70"/>
      <c r="C787" s="70"/>
      <c r="D787" s="70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70"/>
      <c r="B788" s="70"/>
      <c r="C788" s="70"/>
      <c r="D788" s="70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70"/>
      <c r="B789" s="70"/>
      <c r="C789" s="70"/>
      <c r="D789" s="70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70"/>
      <c r="B790" s="70"/>
      <c r="C790" s="70"/>
      <c r="D790" s="70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70"/>
      <c r="B791" s="70"/>
      <c r="C791" s="70"/>
      <c r="D791" s="70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70"/>
      <c r="B792" s="70"/>
      <c r="C792" s="70"/>
      <c r="D792" s="70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70"/>
      <c r="B793" s="70"/>
      <c r="C793" s="70"/>
      <c r="D793" s="70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70"/>
      <c r="B794" s="70"/>
      <c r="C794" s="70"/>
      <c r="D794" s="70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70"/>
      <c r="B795" s="70"/>
      <c r="C795" s="70"/>
      <c r="D795" s="70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70"/>
      <c r="B796" s="70"/>
      <c r="C796" s="70"/>
      <c r="D796" s="70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70"/>
      <c r="B797" s="70"/>
      <c r="C797" s="70"/>
      <c r="D797" s="70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70"/>
      <c r="B798" s="70"/>
      <c r="C798" s="70"/>
      <c r="D798" s="70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70"/>
      <c r="B799" s="70"/>
      <c r="C799" s="70"/>
      <c r="D799" s="70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70"/>
      <c r="B800" s="70"/>
      <c r="C800" s="70"/>
      <c r="D800" s="70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70"/>
      <c r="B801" s="70"/>
      <c r="C801" s="70"/>
      <c r="D801" s="70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70"/>
      <c r="B802" s="70"/>
      <c r="C802" s="70"/>
      <c r="D802" s="70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70"/>
      <c r="B803" s="70"/>
      <c r="C803" s="70"/>
      <c r="D803" s="70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70"/>
      <c r="B804" s="70"/>
      <c r="C804" s="70"/>
      <c r="D804" s="70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70"/>
      <c r="B805" s="70"/>
      <c r="C805" s="70"/>
      <c r="D805" s="70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70"/>
      <c r="B806" s="70"/>
      <c r="C806" s="70"/>
      <c r="D806" s="70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70"/>
      <c r="B807" s="70"/>
      <c r="C807" s="70"/>
      <c r="D807" s="70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70"/>
      <c r="B808" s="70"/>
      <c r="C808" s="70"/>
      <c r="D808" s="70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70"/>
      <c r="B809" s="70"/>
      <c r="C809" s="70"/>
      <c r="D809" s="70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70"/>
      <c r="B810" s="70"/>
      <c r="C810" s="70"/>
      <c r="D810" s="70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70"/>
      <c r="B811" s="70"/>
      <c r="C811" s="70"/>
      <c r="D811" s="70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70"/>
      <c r="B812" s="70"/>
      <c r="C812" s="70"/>
      <c r="D812" s="70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70"/>
      <c r="B813" s="70"/>
      <c r="C813" s="70"/>
      <c r="D813" s="70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70"/>
      <c r="B814" s="70"/>
      <c r="C814" s="70"/>
      <c r="D814" s="70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70"/>
      <c r="B815" s="70"/>
      <c r="C815" s="70"/>
      <c r="D815" s="70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70"/>
      <c r="B816" s="70"/>
      <c r="C816" s="70"/>
      <c r="D816" s="70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70"/>
      <c r="B817" s="70"/>
      <c r="C817" s="70"/>
      <c r="D817" s="70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70"/>
      <c r="B818" s="70"/>
      <c r="C818" s="70"/>
      <c r="D818" s="70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70"/>
      <c r="B819" s="70"/>
      <c r="C819" s="70"/>
      <c r="D819" s="70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70"/>
      <c r="B820" s="70"/>
      <c r="C820" s="70"/>
      <c r="D820" s="70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70"/>
      <c r="B821" s="70"/>
      <c r="C821" s="70"/>
      <c r="D821" s="70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70"/>
      <c r="B822" s="70"/>
      <c r="C822" s="70"/>
      <c r="D822" s="70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70"/>
      <c r="B823" s="70"/>
      <c r="C823" s="70"/>
      <c r="D823" s="70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70"/>
      <c r="B824" s="70"/>
      <c r="C824" s="70"/>
      <c r="D824" s="70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70"/>
      <c r="B825" s="70"/>
      <c r="C825" s="70"/>
      <c r="D825" s="70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70"/>
      <c r="B826" s="70"/>
      <c r="C826" s="70"/>
      <c r="D826" s="70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70"/>
      <c r="B827" s="70"/>
      <c r="C827" s="70"/>
      <c r="D827" s="70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70"/>
      <c r="B828" s="70"/>
      <c r="C828" s="70"/>
      <c r="D828" s="70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70"/>
      <c r="B829" s="70"/>
      <c r="C829" s="70"/>
      <c r="D829" s="70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70"/>
      <c r="B830" s="70"/>
      <c r="C830" s="70"/>
      <c r="D830" s="70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70"/>
      <c r="B831" s="70"/>
      <c r="C831" s="70"/>
      <c r="D831" s="70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70"/>
      <c r="B832" s="70"/>
      <c r="C832" s="70"/>
      <c r="D832" s="70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70"/>
      <c r="B833" s="70"/>
      <c r="C833" s="70"/>
      <c r="D833" s="70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70"/>
      <c r="B834" s="70"/>
      <c r="C834" s="70"/>
      <c r="D834" s="70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70"/>
      <c r="B835" s="70"/>
      <c r="C835" s="70"/>
      <c r="D835" s="70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70"/>
      <c r="B836" s="70"/>
      <c r="C836" s="70"/>
      <c r="D836" s="70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70"/>
      <c r="B837" s="70"/>
      <c r="C837" s="70"/>
      <c r="D837" s="70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70"/>
      <c r="B838" s="70"/>
      <c r="C838" s="70"/>
      <c r="D838" s="70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70"/>
      <c r="B839" s="70"/>
      <c r="C839" s="70"/>
      <c r="D839" s="70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70"/>
      <c r="B840" s="70"/>
      <c r="C840" s="70"/>
      <c r="D840" s="70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70"/>
      <c r="B841" s="70"/>
      <c r="C841" s="70"/>
      <c r="D841" s="70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70"/>
      <c r="B842" s="70"/>
      <c r="C842" s="70"/>
      <c r="D842" s="70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70"/>
      <c r="B843" s="70"/>
      <c r="C843" s="70"/>
      <c r="D843" s="70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70"/>
      <c r="B844" s="70"/>
      <c r="C844" s="70"/>
      <c r="D844" s="70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70"/>
      <c r="B845" s="70"/>
      <c r="C845" s="70"/>
      <c r="D845" s="70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70"/>
      <c r="B846" s="70"/>
      <c r="C846" s="70"/>
      <c r="D846" s="70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70"/>
      <c r="B847" s="70"/>
      <c r="C847" s="70"/>
      <c r="D847" s="70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70"/>
      <c r="B848" s="70"/>
      <c r="C848" s="70"/>
      <c r="D848" s="70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70"/>
      <c r="B849" s="70"/>
      <c r="C849" s="70"/>
      <c r="D849" s="70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70"/>
      <c r="B850" s="70"/>
      <c r="C850" s="70"/>
      <c r="D850" s="70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70"/>
      <c r="B851" s="70"/>
      <c r="C851" s="70"/>
      <c r="D851" s="70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70"/>
      <c r="B852" s="70"/>
      <c r="C852" s="70"/>
      <c r="D852" s="70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70"/>
      <c r="B853" s="70"/>
      <c r="C853" s="70"/>
      <c r="D853" s="70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70"/>
      <c r="B854" s="70"/>
      <c r="C854" s="70"/>
      <c r="D854" s="70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70"/>
      <c r="B855" s="70"/>
      <c r="C855" s="70"/>
      <c r="D855" s="70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70"/>
      <c r="B856" s="70"/>
      <c r="C856" s="70"/>
      <c r="D856" s="70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70"/>
      <c r="B857" s="70"/>
      <c r="C857" s="70"/>
      <c r="D857" s="70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70"/>
      <c r="B858" s="70"/>
      <c r="C858" s="70"/>
      <c r="D858" s="70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70"/>
      <c r="B859" s="70"/>
      <c r="C859" s="70"/>
      <c r="D859" s="70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70"/>
      <c r="B860" s="70"/>
      <c r="C860" s="70"/>
      <c r="D860" s="70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70"/>
      <c r="B861" s="70"/>
      <c r="C861" s="70"/>
      <c r="D861" s="70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70"/>
      <c r="B862" s="70"/>
      <c r="C862" s="70"/>
      <c r="D862" s="70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70"/>
      <c r="B863" s="70"/>
      <c r="C863" s="70"/>
      <c r="D863" s="70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70"/>
      <c r="B864" s="70"/>
      <c r="C864" s="70"/>
      <c r="D864" s="70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70"/>
      <c r="B865" s="70"/>
      <c r="C865" s="70"/>
      <c r="D865" s="70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70"/>
      <c r="B866" s="70"/>
      <c r="C866" s="70"/>
      <c r="D866" s="70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70"/>
      <c r="B867" s="70"/>
      <c r="C867" s="70"/>
      <c r="D867" s="70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70"/>
      <c r="B868" s="70"/>
      <c r="C868" s="70"/>
      <c r="D868" s="70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70"/>
      <c r="B869" s="70"/>
      <c r="C869" s="70"/>
      <c r="D869" s="70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70"/>
      <c r="B870" s="70"/>
      <c r="C870" s="70"/>
      <c r="D870" s="70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70"/>
      <c r="B871" s="70"/>
      <c r="C871" s="70"/>
      <c r="D871" s="70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70"/>
      <c r="B872" s="70"/>
      <c r="C872" s="70"/>
      <c r="D872" s="70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70"/>
      <c r="B873" s="70"/>
      <c r="C873" s="70"/>
      <c r="D873" s="70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70"/>
      <c r="B874" s="70"/>
      <c r="C874" s="70"/>
      <c r="D874" s="70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70"/>
      <c r="B875" s="70"/>
      <c r="C875" s="70"/>
      <c r="D875" s="70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70"/>
      <c r="B876" s="70"/>
      <c r="C876" s="70"/>
      <c r="D876" s="70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70"/>
      <c r="B877" s="70"/>
      <c r="C877" s="70"/>
      <c r="D877" s="70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70"/>
      <c r="B878" s="70"/>
      <c r="C878" s="70"/>
      <c r="D878" s="70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70"/>
      <c r="B879" s="70"/>
      <c r="C879" s="70"/>
      <c r="D879" s="70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70"/>
      <c r="B880" s="70"/>
      <c r="C880" s="70"/>
      <c r="D880" s="70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70"/>
      <c r="B881" s="70"/>
      <c r="C881" s="70"/>
      <c r="D881" s="70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70"/>
      <c r="B882" s="70"/>
      <c r="C882" s="70"/>
      <c r="D882" s="70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70"/>
      <c r="B883" s="70"/>
      <c r="C883" s="70"/>
      <c r="D883" s="70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70"/>
      <c r="B884" s="70"/>
      <c r="C884" s="70"/>
      <c r="D884" s="70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70"/>
      <c r="B885" s="70"/>
      <c r="C885" s="70"/>
      <c r="D885" s="70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70"/>
      <c r="B886" s="70"/>
      <c r="C886" s="70"/>
      <c r="D886" s="70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70"/>
      <c r="B887" s="70"/>
      <c r="C887" s="70"/>
      <c r="D887" s="70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70"/>
      <c r="B888" s="70"/>
      <c r="C888" s="70"/>
      <c r="D888" s="70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70"/>
      <c r="B889" s="70"/>
      <c r="C889" s="70"/>
      <c r="D889" s="70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70"/>
      <c r="B890" s="70"/>
      <c r="C890" s="70"/>
      <c r="D890" s="70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70"/>
      <c r="B891" s="70"/>
      <c r="C891" s="70"/>
      <c r="D891" s="70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70"/>
      <c r="B892" s="70"/>
      <c r="C892" s="70"/>
      <c r="D892" s="70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70"/>
      <c r="B893" s="70"/>
      <c r="C893" s="70"/>
      <c r="D893" s="70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70"/>
      <c r="B894" s="70"/>
      <c r="C894" s="70"/>
      <c r="D894" s="70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70"/>
      <c r="B895" s="70"/>
      <c r="C895" s="70"/>
      <c r="D895" s="70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70"/>
      <c r="B896" s="70"/>
      <c r="C896" s="70"/>
      <c r="D896" s="70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70"/>
      <c r="B897" s="70"/>
      <c r="C897" s="70"/>
      <c r="D897" s="70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70"/>
      <c r="B898" s="70"/>
      <c r="C898" s="70"/>
      <c r="D898" s="70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70"/>
      <c r="B899" s="70"/>
      <c r="C899" s="70"/>
      <c r="D899" s="70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70"/>
      <c r="B900" s="70"/>
      <c r="C900" s="70"/>
      <c r="D900" s="70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70"/>
      <c r="B901" s="70"/>
      <c r="C901" s="70"/>
      <c r="D901" s="70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70"/>
      <c r="B902" s="70"/>
      <c r="C902" s="70"/>
      <c r="D902" s="70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70"/>
      <c r="B903" s="70"/>
      <c r="C903" s="70"/>
      <c r="D903" s="70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70"/>
      <c r="B904" s="70"/>
      <c r="C904" s="70"/>
      <c r="D904" s="70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70"/>
      <c r="B905" s="70"/>
      <c r="C905" s="70"/>
      <c r="D905" s="70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70"/>
      <c r="B906" s="70"/>
      <c r="C906" s="70"/>
      <c r="D906" s="70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70"/>
      <c r="B907" s="70"/>
      <c r="C907" s="70"/>
      <c r="D907" s="70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70"/>
      <c r="B908" s="70"/>
      <c r="C908" s="70"/>
      <c r="D908" s="70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70"/>
      <c r="B909" s="70"/>
      <c r="C909" s="70"/>
      <c r="D909" s="70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70"/>
      <c r="B910" s="70"/>
      <c r="C910" s="70"/>
      <c r="D910" s="70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70"/>
      <c r="B911" s="70"/>
      <c r="C911" s="70"/>
      <c r="D911" s="70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70"/>
      <c r="B912" s="70"/>
      <c r="C912" s="70"/>
      <c r="D912" s="70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70"/>
      <c r="B913" s="70"/>
      <c r="C913" s="70"/>
      <c r="D913" s="70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70"/>
      <c r="B914" s="70"/>
      <c r="C914" s="70"/>
      <c r="D914" s="70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70"/>
      <c r="B915" s="70"/>
      <c r="C915" s="70"/>
      <c r="D915" s="70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70"/>
      <c r="B916" s="70"/>
      <c r="C916" s="70"/>
      <c r="D916" s="70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70"/>
      <c r="B917" s="70"/>
      <c r="C917" s="70"/>
      <c r="D917" s="70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70"/>
      <c r="B918" s="70"/>
      <c r="C918" s="70"/>
      <c r="D918" s="70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70"/>
      <c r="B919" s="70"/>
      <c r="C919" s="70"/>
      <c r="D919" s="70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70"/>
      <c r="B920" s="70"/>
      <c r="C920" s="70"/>
      <c r="D920" s="70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70"/>
      <c r="B921" s="70"/>
      <c r="C921" s="70"/>
      <c r="D921" s="70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70"/>
      <c r="B922" s="70"/>
      <c r="C922" s="70"/>
      <c r="D922" s="70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70"/>
      <c r="B923" s="70"/>
      <c r="C923" s="70"/>
      <c r="D923" s="70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70"/>
      <c r="B924" s="70"/>
      <c r="C924" s="70"/>
      <c r="D924" s="70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70"/>
      <c r="B925" s="70"/>
      <c r="C925" s="70"/>
      <c r="D925" s="70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70"/>
      <c r="B926" s="70"/>
      <c r="C926" s="70"/>
      <c r="D926" s="70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70"/>
      <c r="B927" s="70"/>
      <c r="C927" s="70"/>
      <c r="D927" s="70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70"/>
      <c r="B928" s="70"/>
      <c r="C928" s="70"/>
      <c r="D928" s="70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70"/>
      <c r="B929" s="70"/>
      <c r="C929" s="70"/>
      <c r="D929" s="70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70"/>
      <c r="B930" s="70"/>
      <c r="C930" s="70"/>
      <c r="D930" s="70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70"/>
      <c r="B931" s="70"/>
      <c r="C931" s="70"/>
      <c r="D931" s="70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70"/>
      <c r="B932" s="70"/>
      <c r="C932" s="70"/>
      <c r="D932" s="70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70"/>
      <c r="B933" s="70"/>
      <c r="C933" s="70"/>
      <c r="D933" s="70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70"/>
      <c r="B934" s="70"/>
      <c r="C934" s="70"/>
      <c r="D934" s="70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70"/>
      <c r="B935" s="70"/>
      <c r="C935" s="70"/>
      <c r="D935" s="70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70"/>
      <c r="B936" s="70"/>
      <c r="C936" s="70"/>
      <c r="D936" s="70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70"/>
      <c r="B937" s="70"/>
      <c r="C937" s="70"/>
      <c r="D937" s="70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70"/>
      <c r="B938" s="70"/>
      <c r="C938" s="70"/>
      <c r="D938" s="70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70"/>
      <c r="B939" s="70"/>
      <c r="C939" s="70"/>
      <c r="D939" s="70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70"/>
      <c r="B940" s="70"/>
      <c r="C940" s="70"/>
      <c r="D940" s="70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70"/>
      <c r="B941" s="70"/>
      <c r="C941" s="70"/>
      <c r="D941" s="70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70"/>
      <c r="B942" s="70"/>
      <c r="C942" s="70"/>
      <c r="D942" s="70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70"/>
      <c r="B943" s="70"/>
      <c r="C943" s="70"/>
      <c r="D943" s="70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70"/>
      <c r="B944" s="70"/>
      <c r="C944" s="70"/>
      <c r="D944" s="70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70"/>
      <c r="B945" s="70"/>
      <c r="C945" s="70"/>
      <c r="D945" s="70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70"/>
      <c r="B946" s="70"/>
      <c r="C946" s="70"/>
      <c r="D946" s="70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70"/>
      <c r="B947" s="70"/>
      <c r="C947" s="70"/>
      <c r="D947" s="70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70"/>
      <c r="B948" s="70"/>
      <c r="C948" s="70"/>
      <c r="D948" s="70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70"/>
      <c r="B949" s="70"/>
      <c r="C949" s="70"/>
      <c r="D949" s="70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70"/>
      <c r="B950" s="70"/>
      <c r="C950" s="70"/>
      <c r="D950" s="70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70"/>
      <c r="B951" s="70"/>
      <c r="C951" s="70"/>
      <c r="D951" s="70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70"/>
      <c r="B952" s="70"/>
      <c r="C952" s="70"/>
      <c r="D952" s="70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70"/>
      <c r="B953" s="70"/>
      <c r="C953" s="70"/>
      <c r="D953" s="70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70"/>
      <c r="B954" s="70"/>
      <c r="C954" s="70"/>
      <c r="D954" s="70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70"/>
      <c r="B955" s="70"/>
      <c r="C955" s="70"/>
      <c r="D955" s="70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70"/>
      <c r="B956" s="70"/>
      <c r="C956" s="70"/>
      <c r="D956" s="70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70"/>
      <c r="B957" s="70"/>
      <c r="C957" s="70"/>
      <c r="D957" s="70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70"/>
      <c r="B958" s="70"/>
      <c r="C958" s="70"/>
      <c r="D958" s="70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70"/>
      <c r="B959" s="70"/>
      <c r="C959" s="70"/>
      <c r="D959" s="70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70"/>
      <c r="B960" s="70"/>
      <c r="C960" s="70"/>
      <c r="D960" s="70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70"/>
      <c r="B961" s="70"/>
      <c r="C961" s="70"/>
      <c r="D961" s="70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70"/>
      <c r="B962" s="70"/>
      <c r="C962" s="70"/>
      <c r="D962" s="70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70"/>
      <c r="B963" s="70"/>
      <c r="C963" s="70"/>
      <c r="D963" s="70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70"/>
      <c r="B964" s="70"/>
      <c r="C964" s="70"/>
      <c r="D964" s="70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70"/>
      <c r="B965" s="70"/>
      <c r="C965" s="70"/>
      <c r="D965" s="70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70"/>
      <c r="B966" s="70"/>
      <c r="C966" s="70"/>
      <c r="D966" s="70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70"/>
      <c r="B967" s="70"/>
      <c r="C967" s="70"/>
      <c r="D967" s="70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70"/>
      <c r="B968" s="70"/>
      <c r="C968" s="70"/>
      <c r="D968" s="70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70"/>
      <c r="B969" s="70"/>
      <c r="C969" s="70"/>
      <c r="D969" s="70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70"/>
      <c r="B970" s="70"/>
      <c r="C970" s="70"/>
      <c r="D970" s="70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70"/>
      <c r="B971" s="70"/>
      <c r="C971" s="70"/>
      <c r="D971" s="70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70"/>
      <c r="B972" s="70"/>
      <c r="C972" s="70"/>
      <c r="D972" s="70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70"/>
      <c r="B973" s="70"/>
      <c r="C973" s="70"/>
      <c r="D973" s="70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70"/>
      <c r="B974" s="70"/>
      <c r="C974" s="70"/>
      <c r="D974" s="70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70"/>
      <c r="B975" s="70"/>
      <c r="C975" s="70"/>
      <c r="D975" s="70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70"/>
      <c r="B976" s="70"/>
      <c r="C976" s="70"/>
      <c r="D976" s="70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70"/>
      <c r="B977" s="70"/>
      <c r="C977" s="70"/>
      <c r="D977" s="70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70"/>
      <c r="B978" s="70"/>
      <c r="C978" s="70"/>
      <c r="D978" s="70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70"/>
      <c r="B979" s="70"/>
      <c r="C979" s="70"/>
      <c r="D979" s="70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70"/>
      <c r="B980" s="70"/>
      <c r="C980" s="70"/>
      <c r="D980" s="70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70"/>
      <c r="B981" s="70"/>
      <c r="C981" s="70"/>
      <c r="D981" s="70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70"/>
      <c r="B982" s="70"/>
      <c r="C982" s="70"/>
      <c r="D982" s="70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70"/>
      <c r="B983" s="70"/>
      <c r="C983" s="70"/>
      <c r="D983" s="70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70"/>
      <c r="B984" s="70"/>
      <c r="C984" s="70"/>
      <c r="D984" s="70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70"/>
      <c r="B985" s="70"/>
      <c r="C985" s="70"/>
      <c r="D985" s="70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70"/>
      <c r="B986" s="70"/>
      <c r="C986" s="70"/>
      <c r="D986" s="70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70"/>
      <c r="B987" s="70"/>
      <c r="C987" s="70"/>
      <c r="D987" s="70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70"/>
      <c r="B988" s="70"/>
      <c r="C988" s="70"/>
      <c r="D988" s="70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70"/>
      <c r="B989" s="70"/>
      <c r="C989" s="70"/>
      <c r="D989" s="70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70"/>
      <c r="B990" s="70"/>
      <c r="C990" s="70"/>
      <c r="D990" s="70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70"/>
      <c r="B991" s="70"/>
      <c r="C991" s="70"/>
      <c r="D991" s="70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70"/>
      <c r="B992" s="70"/>
      <c r="C992" s="70"/>
      <c r="D992" s="70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70"/>
      <c r="B993" s="70"/>
      <c r="C993" s="70"/>
      <c r="D993" s="70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70"/>
      <c r="B994" s="70"/>
      <c r="C994" s="70"/>
      <c r="D994" s="70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70"/>
      <c r="B995" s="70"/>
      <c r="C995" s="70"/>
      <c r="D995" s="70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70"/>
      <c r="B996" s="70"/>
      <c r="C996" s="70"/>
      <c r="D996" s="70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1" t="s">
        <v>64</v>
      </c>
      <c r="B1" s="72" t="s">
        <v>65</v>
      </c>
      <c r="C1" s="72" t="s">
        <v>66</v>
      </c>
      <c r="D1" s="72" t="s">
        <v>67</v>
      </c>
      <c r="E1" s="72" t="s">
        <v>68</v>
      </c>
      <c r="F1" s="72" t="s">
        <v>69</v>
      </c>
      <c r="G1" s="73" t="s">
        <v>13</v>
      </c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ht="22.5" customHeight="1" collapsed="1">
      <c r="A2" s="75" t="s">
        <v>70</v>
      </c>
      <c r="B2" s="76" t="s">
        <v>71</v>
      </c>
      <c r="C2" s="77"/>
      <c r="D2" s="78"/>
      <c r="E2" s="78"/>
      <c r="F2" s="78"/>
      <c r="G2" s="79">
        <f t="array" ref="G2">INDIRECT(ADDRESS(ROW()+1,COLUMN()))</f>
        <v>9398</v>
      </c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ht="22.5" hidden="1" customHeight="1" outlineLevel="1">
      <c r="A3" s="81" t="s">
        <v>70</v>
      </c>
      <c r="B3" s="82" t="s">
        <v>71</v>
      </c>
      <c r="C3" s="83">
        <v>45944.0</v>
      </c>
      <c r="D3" s="84">
        <v>1427.19</v>
      </c>
      <c r="E3" s="84">
        <v>0.0</v>
      </c>
      <c r="F3" s="84">
        <v>53.43</v>
      </c>
      <c r="G3" s="85">
        <f t="shared" ref="G3:G26" si="1">SUM(INDIRECT(ADDRESS(ROW()+1,COLUMN())),INDIRECT(ADDRESS(ROW(),COLUMN()-3)),INDIRECT(ADDRESS(ROW(),COLUMN()-2)),INDIRECT(ADDRESS(ROW(),COLUMN()-1)))</f>
        <v>9398</v>
      </c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ht="22.5" hidden="1" customHeight="1" outlineLevel="1">
      <c r="A4" s="81" t="s">
        <v>70</v>
      </c>
      <c r="B4" s="82" t="s">
        <v>71</v>
      </c>
      <c r="C4" s="83">
        <v>45922.0</v>
      </c>
      <c r="D4" s="84">
        <v>0.0</v>
      </c>
      <c r="E4" s="84">
        <v>-335.59</v>
      </c>
      <c r="F4" s="84">
        <v>68.63</v>
      </c>
      <c r="G4" s="85">
        <f t="shared" si="1"/>
        <v>7917.38</v>
      </c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ht="22.5" hidden="1" customHeight="1" outlineLevel="1">
      <c r="A5" s="81" t="s">
        <v>70</v>
      </c>
      <c r="B5" s="82" t="s">
        <v>71</v>
      </c>
      <c r="C5" s="83">
        <v>45917.0</v>
      </c>
      <c r="D5" s="84">
        <v>111.84</v>
      </c>
      <c r="E5" s="84">
        <v>-335.59</v>
      </c>
      <c r="F5" s="84"/>
      <c r="G5" s="85">
        <f t="shared" si="1"/>
        <v>8184.34</v>
      </c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</row>
    <row r="6" ht="22.5" hidden="1" customHeight="1" outlineLevel="1">
      <c r="A6" s="81" t="s">
        <v>70</v>
      </c>
      <c r="B6" s="82" t="s">
        <v>71</v>
      </c>
      <c r="C6" s="83">
        <v>45909.0</v>
      </c>
      <c r="D6" s="84">
        <v>1315.36</v>
      </c>
      <c r="E6" s="84">
        <v>-556.08</v>
      </c>
      <c r="F6" s="84"/>
      <c r="G6" s="85">
        <f t="shared" si="1"/>
        <v>8408.09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</row>
    <row r="7" ht="22.5" hidden="1" customHeight="1" outlineLevel="1">
      <c r="A7" s="81" t="s">
        <v>70</v>
      </c>
      <c r="B7" s="82" t="s">
        <v>71</v>
      </c>
      <c r="C7" s="83">
        <v>45875.0</v>
      </c>
      <c r="D7" s="84">
        <v>1130.0</v>
      </c>
      <c r="E7" s="87">
        <v>0.0</v>
      </c>
      <c r="F7" s="84">
        <v>60.92</v>
      </c>
      <c r="G7" s="85">
        <f t="shared" si="1"/>
        <v>7648.81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</row>
    <row r="8" ht="22.5" hidden="1" customHeight="1" outlineLevel="1">
      <c r="A8" s="81" t="s">
        <v>70</v>
      </c>
      <c r="B8" s="82" t="s">
        <v>71</v>
      </c>
      <c r="C8" s="88">
        <v>45848.0</v>
      </c>
      <c r="D8" s="87">
        <v>1380.0</v>
      </c>
      <c r="E8" s="87">
        <v>0.0</v>
      </c>
      <c r="F8" s="84">
        <v>63.84</v>
      </c>
      <c r="G8" s="85">
        <f t="shared" si="1"/>
        <v>6457.89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</row>
    <row r="9" ht="22.5" hidden="1" customHeight="1" outlineLevel="1">
      <c r="A9" s="89" t="s">
        <v>70</v>
      </c>
      <c r="B9" s="90" t="s">
        <v>71</v>
      </c>
      <c r="C9" s="91">
        <v>45824.0</v>
      </c>
      <c r="D9" s="92">
        <v>2900.0</v>
      </c>
      <c r="E9" s="92">
        <v>0.0</v>
      </c>
      <c r="F9" s="92">
        <v>25.83</v>
      </c>
      <c r="G9" s="93">
        <f t="shared" si="1"/>
        <v>5014.05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</row>
    <row r="10" ht="22.5" hidden="1" customHeight="1" outlineLevel="1">
      <c r="A10" s="81" t="s">
        <v>70</v>
      </c>
      <c r="B10" s="82" t="s">
        <v>71</v>
      </c>
      <c r="C10" s="88">
        <v>45787.0</v>
      </c>
      <c r="D10" s="87">
        <v>1000.0</v>
      </c>
      <c r="E10" s="87">
        <v>0.0</v>
      </c>
      <c r="F10" s="87">
        <v>6.31</v>
      </c>
      <c r="G10" s="85">
        <f t="shared" si="1"/>
        <v>2088.22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</row>
    <row r="11" ht="22.5" hidden="1" customHeight="1" outlineLevel="1">
      <c r="A11" s="89" t="s">
        <v>70</v>
      </c>
      <c r="B11" s="90" t="s">
        <v>71</v>
      </c>
      <c r="C11" s="94">
        <v>45777.0</v>
      </c>
      <c r="D11" s="92">
        <v>0.0</v>
      </c>
      <c r="E11" s="95">
        <v>0.0</v>
      </c>
      <c r="F11" s="95">
        <v>49.18</v>
      </c>
      <c r="G11" s="93">
        <f t="shared" si="1"/>
        <v>1081.91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ht="22.5" hidden="1" customHeight="1" outlineLevel="1">
      <c r="A12" s="89" t="s">
        <v>70</v>
      </c>
      <c r="B12" s="90" t="s">
        <v>71</v>
      </c>
      <c r="C12" s="91">
        <v>45645.0</v>
      </c>
      <c r="D12" s="92">
        <v>0.0</v>
      </c>
      <c r="E12" s="92">
        <v>-312.0</v>
      </c>
      <c r="F12" s="92">
        <v>6.31</v>
      </c>
      <c r="G12" s="93">
        <f t="shared" si="1"/>
        <v>1032.73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ht="22.5" hidden="1" customHeight="1" outlineLevel="1">
      <c r="A13" s="81" t="s">
        <v>70</v>
      </c>
      <c r="B13" s="82" t="s">
        <v>71</v>
      </c>
      <c r="C13" s="88">
        <v>45600.0</v>
      </c>
      <c r="D13" s="87">
        <v>0.0</v>
      </c>
      <c r="E13" s="87">
        <v>-2000.0</v>
      </c>
      <c r="F13" s="87">
        <v>9.45</v>
      </c>
      <c r="G13" s="85">
        <f t="shared" si="1"/>
        <v>1338.42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ht="22.5" hidden="1" customHeight="1" outlineLevel="1">
      <c r="A14" s="89" t="s">
        <v>70</v>
      </c>
      <c r="B14" s="90" t="s">
        <v>71</v>
      </c>
      <c r="C14" s="91">
        <v>45574.0</v>
      </c>
      <c r="D14" s="92">
        <v>0.0</v>
      </c>
      <c r="E14" s="92">
        <v>-2000.0</v>
      </c>
      <c r="F14" s="92">
        <v>29.41</v>
      </c>
      <c r="G14" s="93">
        <f t="shared" si="1"/>
        <v>3328.97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ht="22.5" hidden="1" customHeight="1" outlineLevel="1">
      <c r="A15" s="81" t="s">
        <v>70</v>
      </c>
      <c r="B15" s="82" t="s">
        <v>71</v>
      </c>
      <c r="C15" s="88">
        <v>45537.0</v>
      </c>
      <c r="D15" s="87">
        <v>0.0</v>
      </c>
      <c r="E15" s="87">
        <v>-2400.0</v>
      </c>
      <c r="F15" s="87">
        <v>36.39</v>
      </c>
      <c r="G15" s="85">
        <f t="shared" si="1"/>
        <v>5299.56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ht="22.5" hidden="1" customHeight="1" outlineLevel="1">
      <c r="A16" s="89" t="s">
        <v>70</v>
      </c>
      <c r="B16" s="90" t="s">
        <v>71</v>
      </c>
      <c r="C16" s="91">
        <v>45509.0</v>
      </c>
      <c r="D16" s="92">
        <v>0.0</v>
      </c>
      <c r="E16" s="92">
        <v>-1092.8</v>
      </c>
      <c r="F16" s="92">
        <v>56.2</v>
      </c>
      <c r="G16" s="93">
        <f t="shared" si="1"/>
        <v>7663.17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ht="22.5" hidden="1" customHeight="1" outlineLevel="1">
      <c r="A17" s="81" t="s">
        <v>70</v>
      </c>
      <c r="B17" s="82" t="s">
        <v>71</v>
      </c>
      <c r="C17" s="88">
        <v>45477.0</v>
      </c>
      <c r="D17" s="87">
        <v>0.0</v>
      </c>
      <c r="E17" s="87">
        <v>-2400.0</v>
      </c>
      <c r="F17" s="87">
        <v>78.55</v>
      </c>
      <c r="G17" s="85">
        <f t="shared" si="1"/>
        <v>8699.77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ht="22.5" hidden="1" customHeight="1" outlineLevel="1">
      <c r="A18" s="89" t="s">
        <v>70</v>
      </c>
      <c r="B18" s="90" t="s">
        <v>71</v>
      </c>
      <c r="C18" s="91">
        <v>45445.0</v>
      </c>
      <c r="D18" s="92">
        <v>0.0</v>
      </c>
      <c r="E18" s="92">
        <v>-2400.0</v>
      </c>
      <c r="F18" s="92">
        <v>69.89</v>
      </c>
      <c r="G18" s="93">
        <f t="shared" si="1"/>
        <v>11021.22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ht="22.5" hidden="1" customHeight="1" outlineLevel="1">
      <c r="A19" s="81" t="s">
        <v>70</v>
      </c>
      <c r="B19" s="82" t="s">
        <v>71</v>
      </c>
      <c r="C19" s="88">
        <v>45416.0</v>
      </c>
      <c r="D19" s="87">
        <v>0.0</v>
      </c>
      <c r="E19" s="87">
        <v>-1065.0</v>
      </c>
      <c r="F19" s="87">
        <v>91.17</v>
      </c>
      <c r="G19" s="85">
        <f t="shared" si="1"/>
        <v>13351.33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ht="22.5" hidden="1" customHeight="1" outlineLevel="1">
      <c r="A20" s="89" t="s">
        <v>70</v>
      </c>
      <c r="B20" s="90" t="s">
        <v>71</v>
      </c>
      <c r="C20" s="91">
        <v>45398.0</v>
      </c>
      <c r="D20" s="92">
        <v>0.0</v>
      </c>
      <c r="E20" s="92">
        <v>0.0</v>
      </c>
      <c r="F20" s="92">
        <v>105.2</v>
      </c>
      <c r="G20" s="93">
        <f t="shared" si="1"/>
        <v>14325.16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ht="22.5" hidden="1" customHeight="1" outlineLevel="1">
      <c r="A21" s="81" t="s">
        <v>70</v>
      </c>
      <c r="B21" s="82" t="s">
        <v>71</v>
      </c>
      <c r="C21" s="88">
        <v>45381.0</v>
      </c>
      <c r="D21" s="87">
        <v>0.0</v>
      </c>
      <c r="E21" s="87">
        <v>0.0</v>
      </c>
      <c r="F21" s="87">
        <v>97.1</v>
      </c>
      <c r="G21" s="85">
        <f t="shared" si="1"/>
        <v>14219.96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ht="22.5" hidden="1" customHeight="1" outlineLevel="1">
      <c r="A22" s="89" t="s">
        <v>70</v>
      </c>
      <c r="B22" s="90" t="s">
        <v>71</v>
      </c>
      <c r="C22" s="91">
        <v>45351.0</v>
      </c>
      <c r="D22" s="92">
        <v>0.0</v>
      </c>
      <c r="E22" s="92">
        <v>0.0</v>
      </c>
      <c r="F22" s="92">
        <v>144.74</v>
      </c>
      <c r="G22" s="93">
        <f t="shared" si="1"/>
        <v>14122.86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22.5" hidden="1" customHeight="1" outlineLevel="1">
      <c r="A23" s="81" t="s">
        <v>70</v>
      </c>
      <c r="B23" s="82" t="s">
        <v>71</v>
      </c>
      <c r="C23" s="88">
        <v>45321.0</v>
      </c>
      <c r="D23" s="87">
        <v>0.0</v>
      </c>
      <c r="E23" s="87">
        <v>0.0</v>
      </c>
      <c r="F23" s="87">
        <v>61.3</v>
      </c>
      <c r="G23" s="85">
        <f t="shared" si="1"/>
        <v>13978.12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ht="22.5" hidden="1" customHeight="1" outlineLevel="1">
      <c r="A24" s="89" t="s">
        <v>70</v>
      </c>
      <c r="B24" s="90" t="s">
        <v>71</v>
      </c>
      <c r="C24" s="91">
        <v>45290.0</v>
      </c>
      <c r="D24" s="92">
        <v>0.0</v>
      </c>
      <c r="E24" s="92">
        <v>0.0</v>
      </c>
      <c r="F24" s="92">
        <v>104.7</v>
      </c>
      <c r="G24" s="93">
        <f t="shared" si="1"/>
        <v>13916.82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22.5" hidden="1" customHeight="1" outlineLevel="1">
      <c r="A25" s="96" t="s">
        <v>70</v>
      </c>
      <c r="B25" s="97" t="s">
        <v>71</v>
      </c>
      <c r="C25" s="98">
        <v>45236.0</v>
      </c>
      <c r="D25" s="99">
        <v>0.0</v>
      </c>
      <c r="E25" s="99">
        <v>-144.67</v>
      </c>
      <c r="F25" s="99">
        <v>107.27</v>
      </c>
      <c r="G25" s="100">
        <f t="shared" si="1"/>
        <v>13812.12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ht="22.5" hidden="1" customHeight="1" outlineLevel="1">
      <c r="A26" s="101" t="s">
        <v>70</v>
      </c>
      <c r="B26" s="102" t="s">
        <v>71</v>
      </c>
      <c r="C26" s="103">
        <v>45200.0</v>
      </c>
      <c r="D26" s="104">
        <v>0.0</v>
      </c>
      <c r="E26" s="104">
        <v>0.0</v>
      </c>
      <c r="F26" s="104">
        <v>116.95</v>
      </c>
      <c r="G26" s="105">
        <f t="shared" si="1"/>
        <v>13849.52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</row>
    <row r="27" ht="22.5" hidden="1" customHeight="1" outlineLevel="1">
      <c r="A27" s="106" t="s">
        <v>70</v>
      </c>
      <c r="B27" s="107" t="s">
        <v>71</v>
      </c>
      <c r="C27" s="108">
        <v>45170.0</v>
      </c>
      <c r="D27" s="109">
        <v>13732.57</v>
      </c>
      <c r="E27" s="109">
        <v>0.0</v>
      </c>
      <c r="F27" s="109">
        <v>0.0</v>
      </c>
      <c r="G27" s="110">
        <f>SUM(D27:F27)</f>
        <v>13732.57</v>
      </c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ht="22.5" customHeight="1" collapsed="1">
      <c r="A28" s="75" t="s">
        <v>72</v>
      </c>
      <c r="B28" s="76" t="s">
        <v>73</v>
      </c>
      <c r="C28" s="111"/>
      <c r="D28" s="78"/>
      <c r="E28" s="78"/>
      <c r="F28" s="78"/>
      <c r="G28" s="79">
        <v>0.0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</row>
    <row r="29" ht="22.5" hidden="1" customHeight="1" outlineLevel="1">
      <c r="A29" s="81" t="s">
        <v>72</v>
      </c>
      <c r="B29" s="82" t="s">
        <v>73</v>
      </c>
      <c r="C29" s="112">
        <v>45416.0</v>
      </c>
      <c r="D29" s="87">
        <v>0.0</v>
      </c>
      <c r="E29" s="87">
        <v>-1334.07</v>
      </c>
      <c r="F29" s="87">
        <v>5.64</v>
      </c>
      <c r="G29" s="85">
        <f t="shared" ref="G29:G34" si="2">SUM(INDIRECT(ADDRESS(ROW()+1,COLUMN())),INDIRECT(ADDRESS(ROW(),COLUMN()-3)),INDIRECT(ADDRESS(ROW(),COLUMN()-2)),INDIRECT(ADDRESS(ROW(),COLUMN()-1)))</f>
        <v>54.95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</row>
    <row r="30" ht="22.5" hidden="1" customHeight="1" outlineLevel="1">
      <c r="A30" s="89" t="s">
        <v>72</v>
      </c>
      <c r="B30" s="90" t="s">
        <v>73</v>
      </c>
      <c r="C30" s="112">
        <v>45383.0</v>
      </c>
      <c r="D30" s="92">
        <v>0.0</v>
      </c>
      <c r="E30" s="92">
        <v>-592.0</v>
      </c>
      <c r="F30" s="92">
        <v>69.21</v>
      </c>
      <c r="G30" s="93">
        <f t="shared" si="2"/>
        <v>1383.38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22.5" hidden="1" customHeight="1" outlineLevel="1">
      <c r="A31" s="81" t="s">
        <v>72</v>
      </c>
      <c r="B31" s="82" t="s">
        <v>73</v>
      </c>
      <c r="C31" s="112">
        <v>45352.0</v>
      </c>
      <c r="D31" s="87">
        <v>0.0</v>
      </c>
      <c r="E31" s="87">
        <v>-2400.0</v>
      </c>
      <c r="F31" s="87">
        <v>378.49</v>
      </c>
      <c r="G31" s="85">
        <f t="shared" si="2"/>
        <v>1906.17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22.5" hidden="1" customHeight="1" outlineLevel="1">
      <c r="A32" s="89" t="s">
        <v>72</v>
      </c>
      <c r="B32" s="90" t="s">
        <v>73</v>
      </c>
      <c r="C32" s="112">
        <v>45293.0</v>
      </c>
      <c r="D32" s="92">
        <v>0.0</v>
      </c>
      <c r="E32" s="92">
        <v>-7100.0</v>
      </c>
      <c r="F32" s="92">
        <v>0.0</v>
      </c>
      <c r="G32" s="93">
        <f t="shared" si="2"/>
        <v>3927.68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22.5" hidden="1" customHeight="1" outlineLevel="1">
      <c r="A33" s="106" t="s">
        <v>72</v>
      </c>
      <c r="B33" s="107" t="s">
        <v>73</v>
      </c>
      <c r="C33" s="113">
        <v>45236.0</v>
      </c>
      <c r="D33" s="109">
        <v>0.0</v>
      </c>
      <c r="E33" s="109">
        <v>0.0</v>
      </c>
      <c r="F33" s="109">
        <v>0.0</v>
      </c>
      <c r="G33" s="110">
        <f t="shared" si="2"/>
        <v>11027.68</v>
      </c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</row>
    <row r="34" ht="22.5" hidden="1" customHeight="1" outlineLevel="1">
      <c r="A34" s="101" t="s">
        <v>72</v>
      </c>
      <c r="B34" s="102" t="s">
        <v>73</v>
      </c>
      <c r="C34" s="113">
        <v>45200.0</v>
      </c>
      <c r="D34" s="104">
        <v>0.0</v>
      </c>
      <c r="E34" s="104">
        <v>0.0</v>
      </c>
      <c r="F34" s="104">
        <v>0.0</v>
      </c>
      <c r="G34" s="105">
        <f t="shared" si="2"/>
        <v>11027.68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</row>
    <row r="35" ht="22.5" hidden="1" customHeight="1" outlineLevel="1">
      <c r="A35" s="106" t="s">
        <v>72</v>
      </c>
      <c r="B35" s="107" t="s">
        <v>73</v>
      </c>
      <c r="C35" s="113">
        <v>45170.0</v>
      </c>
      <c r="D35" s="109">
        <v>11027.68</v>
      </c>
      <c r="E35" s="109">
        <v>0.0</v>
      </c>
      <c r="F35" s="109">
        <v>0.0</v>
      </c>
      <c r="G35" s="110">
        <f>SUM(D35:F35)</f>
        <v>11027.68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</row>
    <row r="36" ht="22.5" customHeight="1" collapsed="1">
      <c r="A36" s="75" t="s">
        <v>74</v>
      </c>
      <c r="B36" s="76" t="s">
        <v>73</v>
      </c>
      <c r="C36" s="111"/>
      <c r="D36" s="78"/>
      <c r="E36" s="78"/>
      <c r="F36" s="78"/>
      <c r="G36" s="79">
        <v>0.0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ht="22.5" hidden="1" customHeight="1" outlineLevel="1">
      <c r="A37" s="81" t="s">
        <v>74</v>
      </c>
      <c r="B37" s="82" t="s">
        <v>73</v>
      </c>
      <c r="C37" s="112">
        <v>45383.0</v>
      </c>
      <c r="D37" s="87">
        <v>0.0</v>
      </c>
      <c r="E37" s="87">
        <v>-1507.95</v>
      </c>
      <c r="F37" s="87">
        <v>0.0</v>
      </c>
      <c r="G37" s="93">
        <f t="shared" ref="G37:G44" si="3">SUM(INDIRECT(ADDRESS(ROW()+1,COLUMN())),INDIRECT(ADDRESS(ROW(),COLUMN()-3)),INDIRECT(ADDRESS(ROW(),COLUMN()-2)),INDIRECT(ADDRESS(ROW(),COLUMN()-1)))</f>
        <v>-10.46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ht="22.5" hidden="1" customHeight="1" outlineLevel="1">
      <c r="A38" s="89" t="s">
        <v>74</v>
      </c>
      <c r="B38" s="90" t="s">
        <v>73</v>
      </c>
      <c r="C38" s="112">
        <v>45352.0</v>
      </c>
      <c r="D38" s="92">
        <v>0.0</v>
      </c>
      <c r="E38" s="92">
        <v>-300.0</v>
      </c>
      <c r="F38" s="92">
        <v>282.95</v>
      </c>
      <c r="G38" s="93">
        <f t="shared" si="3"/>
        <v>1497.49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ht="22.5" hidden="1" customHeight="1" outlineLevel="1">
      <c r="A39" s="81" t="s">
        <v>74</v>
      </c>
      <c r="B39" s="82" t="s">
        <v>73</v>
      </c>
      <c r="C39" s="112">
        <v>45329.0</v>
      </c>
      <c r="D39" s="87">
        <v>0.0</v>
      </c>
      <c r="E39" s="87">
        <v>-2830.06</v>
      </c>
      <c r="F39" s="115"/>
      <c r="G39" s="93">
        <f t="shared" si="3"/>
        <v>1514.54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22.5" hidden="1" customHeight="1" outlineLevel="1">
      <c r="A40" s="101" t="s">
        <v>74</v>
      </c>
      <c r="B40" s="102" t="s">
        <v>73</v>
      </c>
      <c r="C40" s="113">
        <v>45299.0</v>
      </c>
      <c r="D40" s="104">
        <v>65.5</v>
      </c>
      <c r="E40" s="104">
        <v>-2231.23</v>
      </c>
      <c r="F40" s="116"/>
      <c r="G40" s="117">
        <f t="shared" si="3"/>
        <v>4344.6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22.5" hidden="1" customHeight="1" outlineLevel="1">
      <c r="A41" s="106" t="s">
        <v>74</v>
      </c>
      <c r="B41" s="107" t="s">
        <v>73</v>
      </c>
      <c r="C41" s="113">
        <v>45264.0</v>
      </c>
      <c r="D41" s="109">
        <v>0.0</v>
      </c>
      <c r="E41" s="109">
        <v>-953.38</v>
      </c>
      <c r="F41" s="118"/>
      <c r="G41" s="117">
        <f t="shared" si="3"/>
        <v>6510.33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22.5" hidden="1" customHeight="1" outlineLevel="1">
      <c r="A42" s="101" t="s">
        <v>74</v>
      </c>
      <c r="B42" s="102" t="s">
        <v>73</v>
      </c>
      <c r="C42" s="113">
        <v>45251.0</v>
      </c>
      <c r="D42" s="104">
        <v>0.0</v>
      </c>
      <c r="E42" s="104">
        <v>-714.3</v>
      </c>
      <c r="F42" s="116"/>
      <c r="G42" s="117">
        <f t="shared" si="3"/>
        <v>7463.71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ht="22.5" hidden="1" customHeight="1" outlineLevel="1">
      <c r="A43" s="106" t="s">
        <v>74</v>
      </c>
      <c r="B43" s="107" t="s">
        <v>73</v>
      </c>
      <c r="C43" s="113">
        <v>45236.0</v>
      </c>
      <c r="D43" s="109">
        <v>0.0</v>
      </c>
      <c r="E43" s="109">
        <v>-682.97</v>
      </c>
      <c r="F43" s="118"/>
      <c r="G43" s="117">
        <f t="shared" si="3"/>
        <v>8178.01</v>
      </c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</row>
    <row r="44" ht="22.5" hidden="1" customHeight="1" outlineLevel="1">
      <c r="A44" s="101" t="s">
        <v>74</v>
      </c>
      <c r="B44" s="102" t="s">
        <v>73</v>
      </c>
      <c r="C44" s="113">
        <v>45204.0</v>
      </c>
      <c r="D44" s="104">
        <v>0.0</v>
      </c>
      <c r="E44" s="104">
        <v>-342.63</v>
      </c>
      <c r="F44" s="116"/>
      <c r="G44" s="117">
        <f t="shared" si="3"/>
        <v>8860.98</v>
      </c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</row>
    <row r="45" ht="22.5" hidden="1" customHeight="1" outlineLevel="1">
      <c r="A45" s="106" t="s">
        <v>74</v>
      </c>
      <c r="B45" s="107" t="s">
        <v>73</v>
      </c>
      <c r="C45" s="113">
        <v>45170.0</v>
      </c>
      <c r="D45" s="109">
        <v>9203.61</v>
      </c>
      <c r="E45" s="109">
        <v>0.0</v>
      </c>
      <c r="F45" s="118"/>
      <c r="G45" s="117">
        <f>SUM(D45:F45)</f>
        <v>9203.61</v>
      </c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</row>
    <row r="46" ht="22.5" customHeight="1">
      <c r="A46" s="120" t="s">
        <v>46</v>
      </c>
      <c r="B46" s="121"/>
      <c r="C46" s="121"/>
      <c r="D46" s="121"/>
      <c r="E46" s="121"/>
      <c r="F46" s="121"/>
      <c r="G46" s="122">
        <f>SUM(G2,G28,G36)</f>
        <v>9398</v>
      </c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</row>
    <row r="48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</row>
    <row r="49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</row>
    <row r="50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</row>
    <row r="5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</row>
    <row r="52">
      <c r="A52" s="119"/>
      <c r="B52" s="119"/>
      <c r="C52" s="119"/>
      <c r="D52" s="119"/>
      <c r="E52" s="119"/>
      <c r="F52" s="123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</row>
    <row r="53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</row>
    <row r="56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</row>
    <row r="57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</row>
    <row r="58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</row>
    <row r="59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</row>
    <row r="60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</row>
    <row r="100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  <c r="AA1001" s="119"/>
      <c r="AB1001" s="119"/>
    </row>
    <row r="1002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  <c r="AA1002" s="119"/>
      <c r="AB1002" s="119"/>
    </row>
    <row r="1003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  <c r="AA1003" s="119"/>
      <c r="AB1003" s="119"/>
    </row>
    <row r="1004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  <c r="AA1004" s="119"/>
      <c r="AB1004" s="119"/>
    </row>
    <row r="1005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  <c r="AA1005" s="119"/>
      <c r="AB1005" s="119"/>
    </row>
    <row r="1006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  <c r="AA1006" s="119"/>
      <c r="AB1006" s="119"/>
    </row>
    <row r="1007">
      <c r="A1007" s="119"/>
      <c r="B1007" s="119"/>
      <c r="C1007" s="119"/>
      <c r="D1007" s="119"/>
      <c r="E1007" s="119"/>
      <c r="F1007" s="119"/>
      <c r="G1007" s="119"/>
      <c r="H1007" s="119"/>
      <c r="I1007" s="119"/>
      <c r="J1007" s="119"/>
      <c r="K1007" s="119"/>
      <c r="L1007" s="119"/>
      <c r="M1007" s="119"/>
      <c r="N1007" s="119"/>
      <c r="O1007" s="119"/>
      <c r="P1007" s="119"/>
      <c r="Q1007" s="119"/>
      <c r="R1007" s="119"/>
      <c r="S1007" s="119"/>
      <c r="T1007" s="119"/>
      <c r="U1007" s="119"/>
      <c r="V1007" s="119"/>
      <c r="W1007" s="119"/>
      <c r="X1007" s="119"/>
      <c r="Y1007" s="119"/>
      <c r="Z1007" s="119"/>
      <c r="AA1007" s="119"/>
      <c r="AB1007" s="119"/>
    </row>
    <row r="1008">
      <c r="A1008" s="119"/>
      <c r="B1008" s="119"/>
      <c r="C1008" s="119"/>
      <c r="D1008" s="119"/>
      <c r="E1008" s="119"/>
      <c r="F1008" s="119"/>
      <c r="G1008" s="119"/>
      <c r="H1008" s="119"/>
      <c r="I1008" s="119"/>
      <c r="J1008" s="119"/>
      <c r="K1008" s="119"/>
      <c r="L1008" s="119"/>
      <c r="M1008" s="119"/>
      <c r="N1008" s="119"/>
      <c r="O1008" s="119"/>
      <c r="P1008" s="119"/>
      <c r="Q1008" s="119"/>
      <c r="R1008" s="119"/>
      <c r="S1008" s="119"/>
      <c r="T1008" s="119"/>
      <c r="U1008" s="119"/>
      <c r="V1008" s="119"/>
      <c r="W1008" s="119"/>
      <c r="X1008" s="119"/>
      <c r="Y1008" s="119"/>
      <c r="Z1008" s="119"/>
      <c r="AA1008" s="119"/>
      <c r="AB1008" s="119"/>
    </row>
    <row r="1009">
      <c r="A1009" s="119"/>
      <c r="B1009" s="119"/>
      <c r="C1009" s="119"/>
      <c r="D1009" s="119"/>
      <c r="E1009" s="119"/>
      <c r="F1009" s="119"/>
      <c r="G1009" s="119"/>
      <c r="H1009" s="119"/>
      <c r="I1009" s="119"/>
      <c r="J1009" s="119"/>
      <c r="K1009" s="119"/>
      <c r="L1009" s="119"/>
      <c r="M1009" s="119"/>
      <c r="N1009" s="119"/>
      <c r="O1009" s="119"/>
      <c r="P1009" s="119"/>
      <c r="Q1009" s="119"/>
      <c r="R1009" s="119"/>
      <c r="S1009" s="119"/>
      <c r="T1009" s="119"/>
      <c r="U1009" s="119"/>
      <c r="V1009" s="119"/>
      <c r="W1009" s="119"/>
      <c r="X1009" s="119"/>
      <c r="Y1009" s="119"/>
      <c r="Z1009" s="119"/>
      <c r="AA1009" s="119"/>
      <c r="AB1009" s="119"/>
    </row>
    <row r="1010">
      <c r="A1010" s="119"/>
      <c r="B1010" s="119"/>
      <c r="C1010" s="119"/>
      <c r="D1010" s="119"/>
      <c r="E1010" s="119"/>
      <c r="F1010" s="119"/>
      <c r="G1010" s="119"/>
      <c r="H1010" s="119"/>
      <c r="I1010" s="119"/>
      <c r="J1010" s="119"/>
      <c r="K1010" s="119"/>
      <c r="L1010" s="119"/>
      <c r="M1010" s="119"/>
      <c r="N1010" s="119"/>
      <c r="O1010" s="119"/>
      <c r="P1010" s="119"/>
      <c r="Q1010" s="119"/>
      <c r="R1010" s="119"/>
      <c r="S1010" s="119"/>
      <c r="T1010" s="119"/>
      <c r="U1010" s="119"/>
      <c r="V1010" s="119"/>
      <c r="W1010" s="119"/>
      <c r="X1010" s="119"/>
      <c r="Y1010" s="119"/>
      <c r="Z1010" s="119"/>
      <c r="AA1010" s="119"/>
      <c r="AB1010" s="119"/>
    </row>
    <row r="1011">
      <c r="A1011" s="119"/>
      <c r="B1011" s="119"/>
      <c r="C1011" s="119"/>
      <c r="D1011" s="119"/>
      <c r="E1011" s="119"/>
      <c r="F1011" s="119"/>
      <c r="G1011" s="119"/>
      <c r="H1011" s="119"/>
      <c r="I1011" s="119"/>
      <c r="J1011" s="119"/>
      <c r="K1011" s="119"/>
      <c r="L1011" s="119"/>
      <c r="M1011" s="119"/>
      <c r="N1011" s="119"/>
      <c r="O1011" s="119"/>
      <c r="P1011" s="119"/>
      <c r="Q1011" s="119"/>
      <c r="R1011" s="119"/>
      <c r="S1011" s="119"/>
      <c r="T1011" s="119"/>
      <c r="U1011" s="119"/>
      <c r="V1011" s="119"/>
      <c r="W1011" s="119"/>
      <c r="X1011" s="119"/>
      <c r="Y1011" s="119"/>
      <c r="Z1011" s="119"/>
      <c r="AA1011" s="119"/>
      <c r="AB1011" s="119"/>
    </row>
    <row r="1012">
      <c r="A1012" s="119"/>
      <c r="B1012" s="119"/>
      <c r="C1012" s="119"/>
      <c r="D1012" s="119"/>
      <c r="E1012" s="119"/>
      <c r="F1012" s="119"/>
      <c r="G1012" s="119"/>
      <c r="H1012" s="119"/>
      <c r="I1012" s="119"/>
      <c r="J1012" s="119"/>
      <c r="K1012" s="119"/>
      <c r="L1012" s="119"/>
      <c r="M1012" s="119"/>
      <c r="N1012" s="119"/>
      <c r="O1012" s="119"/>
      <c r="P1012" s="119"/>
      <c r="Q1012" s="119"/>
      <c r="R1012" s="119"/>
      <c r="S1012" s="119"/>
      <c r="T1012" s="119"/>
      <c r="U1012" s="119"/>
      <c r="V1012" s="119"/>
      <c r="W1012" s="119"/>
      <c r="X1012" s="119"/>
      <c r="Y1012" s="119"/>
      <c r="Z1012" s="119"/>
      <c r="AA1012" s="119"/>
      <c r="AB1012" s="119"/>
    </row>
    <row r="1013">
      <c r="A1013" s="119"/>
      <c r="B1013" s="119"/>
      <c r="C1013" s="119"/>
      <c r="D1013" s="119"/>
      <c r="E1013" s="119"/>
      <c r="F1013" s="119"/>
      <c r="G1013" s="119"/>
      <c r="H1013" s="119"/>
      <c r="I1013" s="119"/>
      <c r="J1013" s="119"/>
      <c r="K1013" s="119"/>
      <c r="L1013" s="119"/>
      <c r="M1013" s="119"/>
      <c r="N1013" s="119"/>
      <c r="O1013" s="119"/>
      <c r="P1013" s="119"/>
      <c r="Q1013" s="119"/>
      <c r="R1013" s="119"/>
      <c r="S1013" s="119"/>
      <c r="T1013" s="119"/>
      <c r="U1013" s="119"/>
      <c r="V1013" s="119"/>
      <c r="W1013" s="119"/>
      <c r="X1013" s="119"/>
      <c r="Y1013" s="119"/>
      <c r="Z1013" s="119"/>
      <c r="AA1013" s="119"/>
      <c r="AB1013" s="119"/>
    </row>
    <row r="1014">
      <c r="A1014" s="119"/>
      <c r="B1014" s="119"/>
      <c r="C1014" s="119"/>
      <c r="D1014" s="119"/>
      <c r="E1014" s="119"/>
      <c r="F1014" s="119"/>
      <c r="G1014" s="119"/>
      <c r="H1014" s="119"/>
      <c r="I1014" s="119"/>
      <c r="J1014" s="119"/>
      <c r="K1014" s="119"/>
      <c r="L1014" s="119"/>
      <c r="M1014" s="119"/>
      <c r="N1014" s="119"/>
      <c r="O1014" s="119"/>
      <c r="P1014" s="119"/>
      <c r="Q1014" s="119"/>
      <c r="R1014" s="119"/>
      <c r="S1014" s="119"/>
      <c r="T1014" s="119"/>
      <c r="U1014" s="119"/>
      <c r="V1014" s="119"/>
      <c r="W1014" s="119"/>
      <c r="X1014" s="119"/>
      <c r="Y1014" s="119"/>
      <c r="Z1014" s="119"/>
      <c r="AA1014" s="119"/>
      <c r="AB1014" s="119"/>
    </row>
    <row r="1015">
      <c r="A1015" s="119"/>
      <c r="B1015" s="119"/>
      <c r="C1015" s="119"/>
      <c r="D1015" s="119"/>
      <c r="E1015" s="119"/>
      <c r="F1015" s="119"/>
      <c r="G1015" s="119"/>
      <c r="H1015" s="119"/>
      <c r="I1015" s="119"/>
      <c r="J1015" s="119"/>
      <c r="K1015" s="119"/>
      <c r="L1015" s="119"/>
      <c r="M1015" s="119"/>
      <c r="N1015" s="119"/>
      <c r="O1015" s="119"/>
      <c r="P1015" s="119"/>
      <c r="Q1015" s="119"/>
      <c r="R1015" s="119"/>
      <c r="S1015" s="119"/>
      <c r="T1015" s="119"/>
      <c r="U1015" s="119"/>
      <c r="V1015" s="119"/>
      <c r="W1015" s="119"/>
      <c r="X1015" s="119"/>
      <c r="Y1015" s="119"/>
      <c r="Z1015" s="119"/>
      <c r="AA1015" s="119"/>
      <c r="AB1015" s="119"/>
    </row>
    <row r="1016">
      <c r="A1016" s="119"/>
      <c r="B1016" s="119"/>
      <c r="C1016" s="119"/>
      <c r="D1016" s="119"/>
      <c r="E1016" s="119"/>
      <c r="F1016" s="119"/>
      <c r="G1016" s="119"/>
      <c r="H1016" s="119"/>
      <c r="I1016" s="119"/>
      <c r="J1016" s="119"/>
      <c r="K1016" s="119"/>
      <c r="L1016" s="119"/>
      <c r="M1016" s="119"/>
      <c r="N1016" s="119"/>
      <c r="O1016" s="119"/>
      <c r="P1016" s="119"/>
      <c r="Q1016" s="119"/>
      <c r="R1016" s="119"/>
      <c r="S1016" s="119"/>
      <c r="T1016" s="119"/>
      <c r="U1016" s="119"/>
      <c r="V1016" s="119"/>
      <c r="W1016" s="119"/>
      <c r="X1016" s="119"/>
      <c r="Y1016" s="119"/>
      <c r="Z1016" s="119"/>
      <c r="AA1016" s="119"/>
      <c r="AB1016" s="119"/>
    </row>
    <row r="1017">
      <c r="A1017" s="119"/>
      <c r="B1017" s="119"/>
      <c r="C1017" s="119"/>
      <c r="D1017" s="119"/>
      <c r="E1017" s="119"/>
      <c r="F1017" s="119"/>
      <c r="G1017" s="119"/>
      <c r="H1017" s="119"/>
      <c r="I1017" s="119"/>
      <c r="J1017" s="119"/>
      <c r="K1017" s="119"/>
      <c r="L1017" s="119"/>
      <c r="M1017" s="119"/>
      <c r="N1017" s="119"/>
      <c r="O1017" s="119"/>
      <c r="P1017" s="119"/>
      <c r="Q1017" s="119"/>
      <c r="R1017" s="119"/>
      <c r="S1017" s="119"/>
      <c r="T1017" s="119"/>
      <c r="U1017" s="119"/>
      <c r="V1017" s="119"/>
      <c r="W1017" s="119"/>
      <c r="X1017" s="119"/>
      <c r="Y1017" s="119"/>
      <c r="Z1017" s="119"/>
      <c r="AA1017" s="119"/>
      <c r="AB1017" s="119"/>
    </row>
    <row r="1018">
      <c r="A1018" s="119"/>
      <c r="B1018" s="119"/>
      <c r="C1018" s="119"/>
      <c r="D1018" s="119"/>
      <c r="E1018" s="119"/>
      <c r="F1018" s="119"/>
      <c r="G1018" s="119"/>
      <c r="H1018" s="119"/>
      <c r="I1018" s="119"/>
      <c r="J1018" s="119"/>
      <c r="K1018" s="119"/>
      <c r="L1018" s="119"/>
      <c r="M1018" s="119"/>
      <c r="N1018" s="119"/>
      <c r="O1018" s="119"/>
      <c r="P1018" s="119"/>
      <c r="Q1018" s="119"/>
      <c r="R1018" s="119"/>
      <c r="S1018" s="119"/>
      <c r="T1018" s="119"/>
      <c r="U1018" s="119"/>
      <c r="V1018" s="119"/>
      <c r="W1018" s="119"/>
      <c r="X1018" s="119"/>
      <c r="Y1018" s="119"/>
      <c r="Z1018" s="119"/>
      <c r="AA1018" s="119"/>
      <c r="AB1018" s="119"/>
    </row>
    <row r="1019">
      <c r="A1019" s="119"/>
      <c r="B1019" s="119"/>
      <c r="C1019" s="119"/>
      <c r="D1019" s="119"/>
      <c r="E1019" s="119"/>
      <c r="F1019" s="119"/>
      <c r="G1019" s="119"/>
      <c r="H1019" s="119"/>
      <c r="I1019" s="119"/>
      <c r="J1019" s="119"/>
      <c r="K1019" s="119"/>
      <c r="L1019" s="119"/>
      <c r="M1019" s="119"/>
      <c r="N1019" s="119"/>
      <c r="O1019" s="119"/>
      <c r="P1019" s="119"/>
      <c r="Q1019" s="119"/>
      <c r="R1019" s="119"/>
      <c r="S1019" s="119"/>
      <c r="T1019" s="119"/>
      <c r="U1019" s="119"/>
      <c r="V1019" s="119"/>
      <c r="W1019" s="119"/>
      <c r="X1019" s="119"/>
      <c r="Y1019" s="119"/>
      <c r="Z1019" s="119"/>
      <c r="AA1019" s="119"/>
      <c r="AB1019" s="119"/>
    </row>
    <row r="1020">
      <c r="A1020" s="119"/>
      <c r="B1020" s="119"/>
      <c r="C1020" s="119"/>
      <c r="D1020" s="119"/>
      <c r="E1020" s="119"/>
      <c r="F1020" s="119"/>
      <c r="G1020" s="119"/>
      <c r="H1020" s="119"/>
      <c r="I1020" s="119"/>
      <c r="J1020" s="119"/>
      <c r="K1020" s="119"/>
      <c r="L1020" s="119"/>
      <c r="M1020" s="119"/>
      <c r="N1020" s="119"/>
      <c r="O1020" s="119"/>
      <c r="P1020" s="119"/>
      <c r="Q1020" s="119"/>
      <c r="R1020" s="119"/>
      <c r="S1020" s="119"/>
      <c r="T1020" s="119"/>
      <c r="U1020" s="119"/>
      <c r="V1020" s="119"/>
      <c r="W1020" s="119"/>
      <c r="X1020" s="119"/>
      <c r="Y1020" s="119"/>
      <c r="Z1020" s="119"/>
      <c r="AA1020" s="119"/>
      <c r="AB1020" s="119"/>
    </row>
    <row r="1021">
      <c r="A1021" s="119"/>
      <c r="B1021" s="119"/>
      <c r="C1021" s="119"/>
      <c r="D1021" s="119"/>
      <c r="E1021" s="119"/>
      <c r="F1021" s="119"/>
      <c r="G1021" s="119"/>
      <c r="H1021" s="119"/>
      <c r="I1021" s="119"/>
      <c r="J1021" s="119"/>
      <c r="K1021" s="119"/>
      <c r="L1021" s="119"/>
      <c r="M1021" s="119"/>
      <c r="N1021" s="119"/>
      <c r="O1021" s="119"/>
      <c r="P1021" s="119"/>
      <c r="Q1021" s="119"/>
      <c r="R1021" s="119"/>
      <c r="S1021" s="119"/>
      <c r="T1021" s="119"/>
      <c r="U1021" s="119"/>
      <c r="V1021" s="119"/>
      <c r="W1021" s="119"/>
      <c r="X1021" s="119"/>
      <c r="Y1021" s="119"/>
      <c r="Z1021" s="119"/>
      <c r="AA1021" s="119"/>
      <c r="AB1021" s="119"/>
    </row>
    <row r="1022">
      <c r="A1022" s="119"/>
      <c r="B1022" s="119"/>
      <c r="C1022" s="119"/>
      <c r="D1022" s="119"/>
      <c r="E1022" s="119"/>
      <c r="F1022" s="119"/>
      <c r="G1022" s="119"/>
      <c r="H1022" s="119"/>
      <c r="I1022" s="119"/>
      <c r="J1022" s="119"/>
      <c r="K1022" s="119"/>
      <c r="L1022" s="119"/>
      <c r="M1022" s="119"/>
      <c r="N1022" s="119"/>
      <c r="O1022" s="119"/>
      <c r="P1022" s="119"/>
      <c r="Q1022" s="119"/>
      <c r="R1022" s="119"/>
      <c r="S1022" s="119"/>
      <c r="T1022" s="119"/>
      <c r="U1022" s="119"/>
      <c r="V1022" s="119"/>
      <c r="W1022" s="119"/>
      <c r="X1022" s="119"/>
      <c r="Y1022" s="119"/>
      <c r="Z1022" s="119"/>
      <c r="AA1022" s="119"/>
      <c r="AB1022" s="119"/>
    </row>
    <row r="1023">
      <c r="A1023" s="119"/>
      <c r="B1023" s="119"/>
      <c r="C1023" s="119"/>
      <c r="D1023" s="119"/>
      <c r="E1023" s="119"/>
      <c r="F1023" s="119"/>
      <c r="G1023" s="119"/>
      <c r="H1023" s="119"/>
      <c r="I1023" s="119"/>
      <c r="J1023" s="119"/>
      <c r="K1023" s="119"/>
      <c r="L1023" s="119"/>
      <c r="M1023" s="119"/>
      <c r="N1023" s="119"/>
      <c r="O1023" s="119"/>
      <c r="P1023" s="119"/>
      <c r="Q1023" s="119"/>
      <c r="R1023" s="119"/>
      <c r="S1023" s="119"/>
      <c r="T1023" s="119"/>
      <c r="U1023" s="119"/>
      <c r="V1023" s="119"/>
      <c r="W1023" s="119"/>
      <c r="X1023" s="119"/>
      <c r="Y1023" s="119"/>
      <c r="Z1023" s="119"/>
      <c r="AA1023" s="119"/>
      <c r="AB1023" s="119"/>
    </row>
    <row r="1024">
      <c r="A1024" s="119"/>
      <c r="B1024" s="119"/>
      <c r="C1024" s="119"/>
      <c r="D1024" s="119"/>
      <c r="E1024" s="119"/>
      <c r="F1024" s="119"/>
      <c r="G1024" s="119"/>
      <c r="H1024" s="119"/>
      <c r="I1024" s="119"/>
      <c r="J1024" s="119"/>
      <c r="K1024" s="119"/>
      <c r="L1024" s="119"/>
      <c r="M1024" s="119"/>
      <c r="N1024" s="119"/>
      <c r="O1024" s="119"/>
      <c r="P1024" s="119"/>
      <c r="Q1024" s="119"/>
      <c r="R1024" s="119"/>
      <c r="S1024" s="119"/>
      <c r="T1024" s="119"/>
      <c r="U1024" s="119"/>
      <c r="V1024" s="119"/>
      <c r="W1024" s="119"/>
      <c r="X1024" s="119"/>
      <c r="Y1024" s="119"/>
      <c r="Z1024" s="119"/>
      <c r="AA1024" s="119"/>
      <c r="AB1024" s="119"/>
    </row>
    <row r="1025">
      <c r="A1025" s="119"/>
      <c r="B1025" s="119"/>
      <c r="C1025" s="119"/>
      <c r="D1025" s="119"/>
      <c r="E1025" s="119"/>
      <c r="F1025" s="119"/>
      <c r="G1025" s="119"/>
      <c r="H1025" s="119"/>
      <c r="I1025" s="119"/>
      <c r="J1025" s="119"/>
      <c r="K1025" s="119"/>
      <c r="L1025" s="119"/>
      <c r="M1025" s="119"/>
      <c r="N1025" s="119"/>
      <c r="O1025" s="119"/>
      <c r="P1025" s="119"/>
      <c r="Q1025" s="119"/>
      <c r="R1025" s="119"/>
      <c r="S1025" s="119"/>
      <c r="T1025" s="119"/>
      <c r="U1025" s="119"/>
      <c r="V1025" s="119"/>
      <c r="W1025" s="119"/>
      <c r="X1025" s="119"/>
      <c r="Y1025" s="119"/>
      <c r="Z1025" s="119"/>
      <c r="AA1025" s="119"/>
      <c r="AB1025" s="119"/>
    </row>
    <row r="1026">
      <c r="A1026" s="119"/>
      <c r="B1026" s="119"/>
      <c r="C1026" s="119"/>
      <c r="D1026" s="119"/>
      <c r="E1026" s="119"/>
      <c r="F1026" s="119"/>
      <c r="G1026" s="119"/>
      <c r="H1026" s="119"/>
      <c r="I1026" s="119"/>
      <c r="J1026" s="119"/>
      <c r="K1026" s="119"/>
      <c r="L1026" s="119"/>
      <c r="M1026" s="119"/>
      <c r="N1026" s="119"/>
      <c r="O1026" s="119"/>
      <c r="P1026" s="119"/>
      <c r="Q1026" s="119"/>
      <c r="R1026" s="119"/>
      <c r="S1026" s="119"/>
      <c r="T1026" s="119"/>
      <c r="U1026" s="119"/>
      <c r="V1026" s="119"/>
      <c r="W1026" s="119"/>
      <c r="X1026" s="119"/>
      <c r="Y1026" s="119"/>
      <c r="Z1026" s="119"/>
      <c r="AA1026" s="119"/>
      <c r="AB1026" s="119"/>
    </row>
    <row r="1027">
      <c r="A1027" s="119"/>
      <c r="B1027" s="119"/>
      <c r="C1027" s="119"/>
      <c r="D1027" s="119"/>
      <c r="E1027" s="119"/>
      <c r="F1027" s="119"/>
      <c r="G1027" s="119"/>
      <c r="H1027" s="119"/>
      <c r="I1027" s="119"/>
      <c r="J1027" s="119"/>
      <c r="K1027" s="119"/>
      <c r="L1027" s="119"/>
      <c r="M1027" s="119"/>
      <c r="N1027" s="119"/>
      <c r="O1027" s="119"/>
      <c r="P1027" s="119"/>
      <c r="Q1027" s="119"/>
      <c r="R1027" s="119"/>
      <c r="S1027" s="119"/>
      <c r="T1027" s="119"/>
      <c r="U1027" s="119"/>
      <c r="V1027" s="119"/>
      <c r="W1027" s="119"/>
      <c r="X1027" s="119"/>
      <c r="Y1027" s="119"/>
      <c r="Z1027" s="119"/>
      <c r="AA1027" s="119"/>
      <c r="AB1027" s="119"/>
    </row>
    <row r="1028">
      <c r="A1028" s="119"/>
      <c r="B1028" s="119"/>
      <c r="C1028" s="119"/>
      <c r="D1028" s="119"/>
      <c r="E1028" s="119"/>
      <c r="F1028" s="119"/>
      <c r="G1028" s="119"/>
      <c r="H1028" s="119"/>
      <c r="I1028" s="119"/>
      <c r="J1028" s="119"/>
      <c r="K1028" s="119"/>
      <c r="L1028" s="119"/>
      <c r="M1028" s="119"/>
      <c r="N1028" s="119"/>
      <c r="O1028" s="119"/>
      <c r="P1028" s="119"/>
      <c r="Q1028" s="119"/>
      <c r="R1028" s="119"/>
      <c r="S1028" s="119"/>
      <c r="T1028" s="119"/>
      <c r="U1028" s="119"/>
      <c r="V1028" s="119"/>
      <c r="W1028" s="119"/>
      <c r="X1028" s="119"/>
      <c r="Y1028" s="119"/>
      <c r="Z1028" s="119"/>
      <c r="AA1028" s="119"/>
      <c r="AB1028" s="119"/>
    </row>
    <row r="1029">
      <c r="A1029" s="119"/>
      <c r="B1029" s="119"/>
      <c r="C1029" s="119"/>
      <c r="D1029" s="119"/>
      <c r="E1029" s="119"/>
      <c r="F1029" s="119"/>
      <c r="G1029" s="119"/>
      <c r="H1029" s="119"/>
      <c r="I1029" s="119"/>
      <c r="J1029" s="119"/>
      <c r="K1029" s="119"/>
      <c r="L1029" s="119"/>
      <c r="M1029" s="119"/>
      <c r="N1029" s="119"/>
      <c r="O1029" s="119"/>
      <c r="P1029" s="119"/>
      <c r="Q1029" s="119"/>
      <c r="R1029" s="119"/>
      <c r="S1029" s="119"/>
      <c r="T1029" s="119"/>
      <c r="U1029" s="119"/>
      <c r="V1029" s="119"/>
      <c r="W1029" s="119"/>
      <c r="X1029" s="119"/>
      <c r="Y1029" s="119"/>
      <c r="Z1029" s="119"/>
      <c r="AA1029" s="119"/>
      <c r="AB1029" s="119"/>
    </row>
    <row r="1030">
      <c r="A1030" s="119"/>
      <c r="B1030" s="119"/>
      <c r="C1030" s="119"/>
      <c r="D1030" s="119"/>
      <c r="E1030" s="119"/>
      <c r="F1030" s="119"/>
      <c r="G1030" s="119"/>
      <c r="H1030" s="119"/>
      <c r="I1030" s="119"/>
      <c r="J1030" s="119"/>
      <c r="K1030" s="119"/>
      <c r="L1030" s="119"/>
      <c r="M1030" s="119"/>
      <c r="N1030" s="119"/>
      <c r="O1030" s="119"/>
      <c r="P1030" s="119"/>
      <c r="Q1030" s="119"/>
      <c r="R1030" s="119"/>
      <c r="S1030" s="119"/>
      <c r="T1030" s="119"/>
      <c r="U1030" s="119"/>
      <c r="V1030" s="119"/>
      <c r="W1030" s="119"/>
      <c r="X1030" s="119"/>
      <c r="Y1030" s="119"/>
      <c r="Z1030" s="119"/>
      <c r="AA1030" s="119"/>
      <c r="AB1030" s="119"/>
    </row>
    <row r="1031">
      <c r="A1031" s="119"/>
      <c r="B1031" s="119"/>
      <c r="C1031" s="119"/>
      <c r="D1031" s="119"/>
      <c r="E1031" s="119"/>
      <c r="F1031" s="119"/>
      <c r="G1031" s="119"/>
      <c r="H1031" s="119"/>
      <c r="I1031" s="119"/>
      <c r="J1031" s="119"/>
      <c r="K1031" s="119"/>
      <c r="L1031" s="119"/>
      <c r="M1031" s="119"/>
      <c r="N1031" s="119"/>
      <c r="O1031" s="119"/>
      <c r="P1031" s="119"/>
      <c r="Q1031" s="119"/>
      <c r="R1031" s="119"/>
      <c r="S1031" s="119"/>
      <c r="T1031" s="119"/>
      <c r="U1031" s="119"/>
      <c r="V1031" s="119"/>
      <c r="W1031" s="119"/>
      <c r="X1031" s="119"/>
      <c r="Y1031" s="119"/>
      <c r="Z1031" s="119"/>
      <c r="AA1031" s="119"/>
      <c r="AB1031" s="119"/>
    </row>
    <row r="1032">
      <c r="A1032" s="119"/>
      <c r="B1032" s="119"/>
      <c r="C1032" s="119"/>
      <c r="D1032" s="119"/>
      <c r="E1032" s="119"/>
      <c r="F1032" s="119"/>
      <c r="G1032" s="119"/>
      <c r="H1032" s="119"/>
      <c r="I1032" s="119"/>
      <c r="J1032" s="119"/>
      <c r="K1032" s="119"/>
      <c r="L1032" s="119"/>
      <c r="M1032" s="119"/>
      <c r="N1032" s="119"/>
      <c r="O1032" s="119"/>
      <c r="P1032" s="119"/>
      <c r="Q1032" s="119"/>
      <c r="R1032" s="119"/>
      <c r="S1032" s="119"/>
      <c r="T1032" s="119"/>
      <c r="U1032" s="119"/>
      <c r="V1032" s="119"/>
      <c r="W1032" s="119"/>
      <c r="X1032" s="119"/>
      <c r="Y1032" s="119"/>
      <c r="Z1032" s="119"/>
      <c r="AA1032" s="119"/>
      <c r="AB1032" s="119"/>
    </row>
    <row r="1033">
      <c r="A1033" s="119"/>
      <c r="B1033" s="119"/>
      <c r="C1033" s="119"/>
      <c r="D1033" s="119"/>
      <c r="E1033" s="119"/>
      <c r="F1033" s="119"/>
      <c r="G1033" s="119"/>
      <c r="H1033" s="119"/>
      <c r="I1033" s="119"/>
      <c r="J1033" s="119"/>
      <c r="K1033" s="119"/>
      <c r="L1033" s="119"/>
      <c r="M1033" s="119"/>
      <c r="N1033" s="119"/>
      <c r="O1033" s="119"/>
      <c r="P1033" s="119"/>
      <c r="Q1033" s="119"/>
      <c r="R1033" s="119"/>
      <c r="S1033" s="119"/>
      <c r="T1033" s="119"/>
      <c r="U1033" s="119"/>
      <c r="V1033" s="119"/>
      <c r="W1033" s="119"/>
      <c r="X1033" s="119"/>
      <c r="Y1033" s="119"/>
      <c r="Z1033" s="119"/>
      <c r="AA1033" s="119"/>
      <c r="AB1033" s="119"/>
    </row>
    <row r="1034">
      <c r="A1034" s="119"/>
      <c r="B1034" s="119"/>
      <c r="C1034" s="119"/>
      <c r="D1034" s="119"/>
      <c r="E1034" s="119"/>
      <c r="F1034" s="119"/>
      <c r="G1034" s="119"/>
      <c r="H1034" s="119"/>
      <c r="I1034" s="119"/>
      <c r="J1034" s="119"/>
      <c r="K1034" s="119"/>
      <c r="L1034" s="119"/>
      <c r="M1034" s="119"/>
      <c r="N1034" s="119"/>
      <c r="O1034" s="119"/>
      <c r="P1034" s="119"/>
      <c r="Q1034" s="119"/>
      <c r="R1034" s="119"/>
      <c r="S1034" s="119"/>
      <c r="T1034" s="119"/>
      <c r="U1034" s="119"/>
      <c r="V1034" s="119"/>
      <c r="W1034" s="119"/>
      <c r="X1034" s="119"/>
      <c r="Y1034" s="119"/>
      <c r="Z1034" s="119"/>
      <c r="AA1034" s="119"/>
      <c r="AB1034" s="119"/>
    </row>
    <row r="1035">
      <c r="A1035" s="119"/>
      <c r="B1035" s="119"/>
      <c r="C1035" s="119"/>
      <c r="D1035" s="119"/>
      <c r="E1035" s="119"/>
      <c r="F1035" s="119"/>
      <c r="G1035" s="119"/>
      <c r="H1035" s="119"/>
      <c r="I1035" s="119"/>
      <c r="J1035" s="119"/>
      <c r="K1035" s="119"/>
      <c r="L1035" s="119"/>
      <c r="M1035" s="119"/>
      <c r="N1035" s="119"/>
      <c r="O1035" s="119"/>
      <c r="P1035" s="119"/>
      <c r="Q1035" s="119"/>
      <c r="R1035" s="119"/>
      <c r="S1035" s="119"/>
      <c r="T1035" s="119"/>
      <c r="U1035" s="119"/>
      <c r="V1035" s="119"/>
      <c r="W1035" s="119"/>
      <c r="X1035" s="119"/>
      <c r="Y1035" s="119"/>
      <c r="Z1035" s="119"/>
      <c r="AA1035" s="119"/>
      <c r="AB1035" s="119"/>
    </row>
    <row r="1036">
      <c r="A1036" s="119"/>
      <c r="B1036" s="119"/>
      <c r="C1036" s="119"/>
      <c r="D1036" s="119"/>
      <c r="E1036" s="119"/>
      <c r="F1036" s="119"/>
      <c r="G1036" s="119"/>
      <c r="H1036" s="119"/>
      <c r="I1036" s="119"/>
      <c r="J1036" s="119"/>
      <c r="K1036" s="119"/>
      <c r="L1036" s="119"/>
      <c r="M1036" s="119"/>
      <c r="N1036" s="119"/>
      <c r="O1036" s="119"/>
      <c r="P1036" s="119"/>
      <c r="Q1036" s="119"/>
      <c r="R1036" s="119"/>
      <c r="S1036" s="119"/>
      <c r="T1036" s="119"/>
      <c r="U1036" s="119"/>
      <c r="V1036" s="119"/>
      <c r="W1036" s="119"/>
      <c r="X1036" s="119"/>
      <c r="Y1036" s="119"/>
      <c r="Z1036" s="119"/>
      <c r="AA1036" s="119"/>
      <c r="AB1036" s="119"/>
    </row>
  </sheetData>
  <dataValidations>
    <dataValidation type="custom" allowBlank="1" showDropDown="1" sqref="D2:G4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4" t="s">
        <v>75</v>
      </c>
      <c r="B1" s="124" t="s">
        <v>76</v>
      </c>
      <c r="C1" s="124" t="s">
        <v>77</v>
      </c>
      <c r="D1" s="124" t="s">
        <v>78</v>
      </c>
      <c r="E1" s="125" t="s">
        <v>79</v>
      </c>
      <c r="F1" s="124" t="s">
        <v>80</v>
      </c>
      <c r="G1" s="124" t="s">
        <v>81</v>
      </c>
      <c r="H1" s="124" t="s">
        <v>82</v>
      </c>
      <c r="I1" s="124" t="s">
        <v>83</v>
      </c>
      <c r="J1" s="124" t="s">
        <v>84</v>
      </c>
      <c r="K1" s="126" t="s">
        <v>85</v>
      </c>
      <c r="L1" s="127" t="s">
        <v>86</v>
      </c>
    </row>
    <row r="2" ht="22.5" customHeight="1">
      <c r="A2" s="128" t="s">
        <v>87</v>
      </c>
      <c r="B2" s="129"/>
      <c r="C2" s="129"/>
      <c r="D2" s="129"/>
      <c r="E2" s="128"/>
      <c r="F2" s="129"/>
      <c r="G2" s="129"/>
      <c r="H2" s="129"/>
      <c r="I2" s="129">
        <f>SUMIFS($I$3:$I$6, $J$3:$J$6, TRUE)
</f>
        <v>10132.38</v>
      </c>
      <c r="J2" s="130" t="b">
        <v>1</v>
      </c>
      <c r="K2" s="131"/>
      <c r="L2" s="132">
        <f>IF(J2, I2, NA())</f>
        <v>10132.38</v>
      </c>
    </row>
    <row r="3" ht="22.5" customHeight="1">
      <c r="A3" s="133" t="s">
        <v>87</v>
      </c>
      <c r="B3" s="134" t="s">
        <v>88</v>
      </c>
      <c r="C3" s="134" t="s">
        <v>89</v>
      </c>
      <c r="D3" s="135">
        <v>45929.0</v>
      </c>
      <c r="E3" s="136">
        <v>46813.0</v>
      </c>
      <c r="F3" s="134">
        <v>1.0</v>
      </c>
      <c r="G3" s="134"/>
      <c r="H3" s="134">
        <v>1917.12</v>
      </c>
      <c r="I3" s="134">
        <v>1918.77</v>
      </c>
      <c r="J3" s="137" t="b">
        <v>1</v>
      </c>
      <c r="K3" s="138"/>
    </row>
    <row r="4" ht="22.5" customHeight="1">
      <c r="A4" s="133" t="s">
        <v>87</v>
      </c>
      <c r="B4" s="134" t="s">
        <v>90</v>
      </c>
      <c r="C4" s="134" t="s">
        <v>91</v>
      </c>
      <c r="D4" s="135">
        <v>45839.0</v>
      </c>
      <c r="E4" s="136">
        <v>46057.0</v>
      </c>
      <c r="F4" s="134">
        <v>1.0</v>
      </c>
      <c r="G4" s="134"/>
      <c r="H4" s="134">
        <v>5000.0</v>
      </c>
      <c r="I4" s="134">
        <v>5081.53</v>
      </c>
      <c r="J4" s="137" t="b">
        <v>1</v>
      </c>
      <c r="K4" s="138"/>
    </row>
    <row r="5" ht="22.5" customHeight="1">
      <c r="A5" s="133" t="s">
        <v>87</v>
      </c>
      <c r="B5" s="134" t="s">
        <v>92</v>
      </c>
      <c r="C5" s="134" t="s">
        <v>93</v>
      </c>
      <c r="D5" s="135">
        <v>45043.0</v>
      </c>
      <c r="E5" s="136">
        <v>46127.0</v>
      </c>
      <c r="F5" s="134">
        <v>1.0</v>
      </c>
      <c r="G5" s="134"/>
      <c r="H5" s="134">
        <v>1000.0</v>
      </c>
      <c r="I5" s="134">
        <v>1374.96</v>
      </c>
      <c r="J5" s="137" t="b">
        <v>1</v>
      </c>
      <c r="K5" s="138"/>
    </row>
    <row r="6" ht="22.5" customHeight="1">
      <c r="A6" s="139" t="s">
        <v>87</v>
      </c>
      <c r="B6" s="140" t="s">
        <v>92</v>
      </c>
      <c r="C6" s="140" t="s">
        <v>94</v>
      </c>
      <c r="D6" s="141">
        <v>45036.0</v>
      </c>
      <c r="E6" s="141">
        <v>46023.0</v>
      </c>
      <c r="F6" s="142">
        <v>1.83</v>
      </c>
      <c r="G6" s="143"/>
      <c r="H6" s="142">
        <v>1350.43</v>
      </c>
      <c r="I6" s="142">
        <v>1757.12</v>
      </c>
      <c r="J6" s="144" t="b">
        <v>1</v>
      </c>
      <c r="K6" s="145"/>
    </row>
    <row r="7" ht="22.5" customHeight="1">
      <c r="A7" s="128" t="s">
        <v>95</v>
      </c>
      <c r="B7" s="129"/>
      <c r="C7" s="129"/>
      <c r="D7" s="129"/>
      <c r="E7" s="128"/>
      <c r="F7" s="129"/>
      <c r="G7" s="129"/>
      <c r="H7" s="129"/>
      <c r="I7" s="129">
        <f>SUMIFS($I$8, $J$8, TRUE)
</f>
        <v>0</v>
      </c>
      <c r="J7" s="130" t="b">
        <v>0</v>
      </c>
      <c r="K7" s="131"/>
      <c r="L7" s="132" t="str">
        <f>IF(J7, I7, NA())</f>
        <v>#N/A</v>
      </c>
    </row>
    <row r="8" ht="22.5" customHeight="1">
      <c r="A8" s="146"/>
      <c r="B8" s="146"/>
      <c r="C8" s="146"/>
      <c r="D8" s="146"/>
      <c r="E8" s="146"/>
      <c r="F8" s="146"/>
      <c r="G8" s="146"/>
      <c r="H8" s="146"/>
      <c r="I8" s="146"/>
      <c r="J8" s="137" t="b">
        <v>0</v>
      </c>
      <c r="K8" s="138"/>
    </row>
    <row r="9" ht="22.5" customHeight="1">
      <c r="A9" s="128" t="s">
        <v>96</v>
      </c>
      <c r="B9" s="129"/>
      <c r="C9" s="129"/>
      <c r="D9" s="129"/>
      <c r="E9" s="128"/>
      <c r="F9" s="129"/>
      <c r="G9" s="129"/>
      <c r="H9" s="129"/>
      <c r="I9" s="129">
        <f>SUMIFS($I$10:$I$12, $J$10:$J$12, TRUE)
</f>
        <v>1264.25</v>
      </c>
      <c r="J9" s="130" t="b">
        <v>1</v>
      </c>
      <c r="K9" s="131"/>
      <c r="L9" s="132">
        <f>IF(J9, I9, NA())</f>
        <v>1264.25</v>
      </c>
    </row>
    <row r="10" ht="22.5" customHeight="1">
      <c r="A10" s="133" t="s">
        <v>96</v>
      </c>
      <c r="B10" s="134" t="s">
        <v>97</v>
      </c>
      <c r="C10" s="134" t="s">
        <v>98</v>
      </c>
      <c r="D10" s="146"/>
      <c r="E10" s="134"/>
      <c r="F10" s="134">
        <v>40.0</v>
      </c>
      <c r="G10" s="134">
        <v>46.0</v>
      </c>
      <c r="H10" s="134">
        <v>423.2</v>
      </c>
      <c r="I10" s="134">
        <v>393.2</v>
      </c>
      <c r="J10" s="137" t="b">
        <v>1</v>
      </c>
      <c r="K10" s="138"/>
    </row>
    <row r="11" ht="22.5" customHeight="1">
      <c r="A11" s="133" t="s">
        <v>96</v>
      </c>
      <c r="B11" s="134" t="s">
        <v>97</v>
      </c>
      <c r="C11" s="134" t="s">
        <v>99</v>
      </c>
      <c r="D11" s="146"/>
      <c r="E11" s="134"/>
      <c r="F11" s="134">
        <v>5.0</v>
      </c>
      <c r="G11" s="134">
        <v>62.7</v>
      </c>
      <c r="H11" s="134">
        <v>682.34</v>
      </c>
      <c r="I11" s="134">
        <v>435.6</v>
      </c>
      <c r="J11" s="137" t="b">
        <v>1</v>
      </c>
      <c r="K11" s="138"/>
    </row>
    <row r="12" ht="22.5" customHeight="1">
      <c r="A12" s="133" t="s">
        <v>96</v>
      </c>
      <c r="B12" s="134" t="s">
        <v>97</v>
      </c>
      <c r="C12" s="134" t="s">
        <v>100</v>
      </c>
      <c r="D12" s="146"/>
      <c r="E12" s="134"/>
      <c r="F12" s="134">
        <v>5.0</v>
      </c>
      <c r="G12" s="134">
        <v>39.75</v>
      </c>
      <c r="H12" s="134">
        <v>589.05</v>
      </c>
      <c r="I12" s="134">
        <v>435.45</v>
      </c>
      <c r="J12" s="137" t="b">
        <v>1</v>
      </c>
      <c r="K12" s="138"/>
    </row>
    <row r="13" ht="22.5" customHeight="1">
      <c r="A13" s="128" t="s">
        <v>101</v>
      </c>
      <c r="B13" s="147"/>
      <c r="C13" s="147"/>
      <c r="D13" s="147"/>
      <c r="E13" s="148"/>
      <c r="F13" s="147"/>
      <c r="G13" s="147"/>
      <c r="H13" s="147"/>
      <c r="I13" s="129">
        <f>SUMIFS($I$14, $J$14, TRUE)
</f>
        <v>1477.68</v>
      </c>
      <c r="J13" s="149" t="b">
        <v>1</v>
      </c>
      <c r="K13" s="150"/>
      <c r="L13" s="132">
        <f>IF(J13, I13, NA())</f>
        <v>1477.68</v>
      </c>
    </row>
    <row r="14" ht="22.5" customHeight="1">
      <c r="A14" s="133" t="s">
        <v>101</v>
      </c>
      <c r="B14" s="134" t="s">
        <v>88</v>
      </c>
      <c r="C14" s="134" t="s">
        <v>102</v>
      </c>
      <c r="D14" s="136">
        <v>45931.0</v>
      </c>
      <c r="E14" s="134"/>
      <c r="F14" s="134">
        <v>47.0</v>
      </c>
      <c r="G14" s="134"/>
      <c r="H14" s="134">
        <v>1477.68</v>
      </c>
      <c r="I14" s="134">
        <v>1477.68</v>
      </c>
      <c r="J14" s="137" t="b">
        <v>1</v>
      </c>
      <c r="K14" s="138"/>
    </row>
    <row r="15" ht="22.5" customHeight="1">
      <c r="A15" s="128" t="s">
        <v>103</v>
      </c>
      <c r="B15" s="147"/>
      <c r="C15" s="147"/>
      <c r="D15" s="147"/>
      <c r="E15" s="148"/>
      <c r="F15" s="147"/>
      <c r="G15" s="147"/>
      <c r="H15" s="147"/>
      <c r="I15" s="129">
        <f>SUMIFS($I$16, $J$16, TRUE)
</f>
        <v>1249.42</v>
      </c>
      <c r="J15" s="149" t="b">
        <v>1</v>
      </c>
      <c r="K15" s="150"/>
      <c r="L15" s="132">
        <f>IF(J15, I15, NA())</f>
        <v>1249.42</v>
      </c>
    </row>
    <row r="16" ht="22.5" customHeight="1">
      <c r="A16" s="133" t="s">
        <v>103</v>
      </c>
      <c r="B16" s="134" t="s">
        <v>104</v>
      </c>
      <c r="C16" s="134" t="s">
        <v>105</v>
      </c>
      <c r="D16" s="146"/>
      <c r="E16" s="134"/>
      <c r="F16" s="134">
        <v>0.00199974</v>
      </c>
      <c r="G16" s="146"/>
      <c r="H16" s="146"/>
      <c r="I16" s="134">
        <v>1249.42</v>
      </c>
      <c r="J16" s="137" t="b">
        <v>1</v>
      </c>
      <c r="K16" s="138"/>
    </row>
    <row r="17" ht="22.5" customHeight="1">
      <c r="A17" s="128" t="s">
        <v>106</v>
      </c>
      <c r="B17" s="147"/>
      <c r="C17" s="147"/>
      <c r="D17" s="147"/>
      <c r="E17" s="148"/>
      <c r="F17" s="147"/>
      <c r="G17" s="147"/>
      <c r="H17" s="147"/>
      <c r="I17" s="129">
        <f>SUMIFS($I$18, $J$18, TRUE)
</f>
        <v>15933.05</v>
      </c>
      <c r="J17" s="149" t="b">
        <v>0</v>
      </c>
      <c r="K17" s="150"/>
      <c r="L17" s="132" t="str">
        <f>IF(J17, I17, NA())</f>
        <v>#N/A</v>
      </c>
    </row>
    <row r="18" ht="22.5" customHeight="1">
      <c r="A18" s="133" t="s">
        <v>106</v>
      </c>
      <c r="B18" s="134" t="s">
        <v>107</v>
      </c>
      <c r="C18" s="134" t="s">
        <v>108</v>
      </c>
      <c r="D18" s="146"/>
      <c r="E18" s="134"/>
      <c r="F18" s="146"/>
      <c r="G18" s="146"/>
      <c r="H18" s="146"/>
      <c r="I18" s="151">
        <v>15933.05</v>
      </c>
      <c r="J18" s="137" t="b">
        <v>1</v>
      </c>
      <c r="K18" s="138"/>
    </row>
    <row r="19" ht="22.5" customHeight="1">
      <c r="A19" s="128" t="s">
        <v>109</v>
      </c>
      <c r="B19" s="147"/>
      <c r="C19" s="147"/>
      <c r="D19" s="147"/>
      <c r="E19" s="148"/>
      <c r="F19" s="147"/>
      <c r="G19" s="147"/>
      <c r="H19" s="147"/>
      <c r="I19" s="129">
        <f>SUM(I20)</f>
        <v>0</v>
      </c>
      <c r="J19" s="149" t="b">
        <v>0</v>
      </c>
      <c r="K19" s="152"/>
      <c r="L19" s="132" t="str">
        <f>IF(J19, I19, NA())</f>
        <v>#N/A</v>
      </c>
    </row>
    <row r="20" ht="22.5" customHeight="1">
      <c r="A20" s="153"/>
      <c r="B20" s="146"/>
      <c r="C20" s="146"/>
      <c r="D20" s="146"/>
      <c r="E20" s="134"/>
      <c r="F20" s="146"/>
      <c r="G20" s="146"/>
      <c r="H20" s="146"/>
      <c r="I20" s="146"/>
      <c r="J20" s="137" t="b">
        <v>0</v>
      </c>
      <c r="K20" s="138"/>
    </row>
    <row r="21" ht="19.5" customHeight="1">
      <c r="A21" s="128" t="s">
        <v>110</v>
      </c>
      <c r="B21" s="129"/>
      <c r="C21" s="129"/>
      <c r="D21" s="129"/>
      <c r="E21" s="128"/>
      <c r="F21" s="129"/>
      <c r="G21" s="129"/>
      <c r="H21" s="129"/>
      <c r="I21" s="129">
        <f>SUM(I22)</f>
        <v>0</v>
      </c>
      <c r="J21" s="130" t="b">
        <v>0</v>
      </c>
      <c r="K21" s="131"/>
      <c r="L21" s="132" t="str">
        <f>IF(J21, I21, NA())</f>
        <v>#N/A</v>
      </c>
    </row>
    <row r="22" ht="22.5" customHeight="1">
      <c r="A22" s="153"/>
      <c r="B22" s="134"/>
      <c r="C22" s="134"/>
      <c r="D22" s="136"/>
      <c r="E22" s="136"/>
      <c r="F22" s="134"/>
      <c r="G22" s="146"/>
      <c r="H22" s="134"/>
      <c r="I22" s="134"/>
      <c r="J22" s="137"/>
      <c r="K22" s="138"/>
    </row>
    <row r="23" ht="22.5" customHeight="1">
      <c r="A23" s="128" t="s">
        <v>111</v>
      </c>
      <c r="B23" s="147"/>
      <c r="C23" s="147"/>
      <c r="D23" s="147"/>
      <c r="E23" s="148"/>
      <c r="F23" s="147"/>
      <c r="G23" s="147"/>
      <c r="H23" s="147"/>
      <c r="I23" s="129">
        <f>SUM(I24)</f>
        <v>0</v>
      </c>
      <c r="J23" s="149" t="b">
        <v>0</v>
      </c>
      <c r="K23" s="150"/>
      <c r="L23" s="132" t="str">
        <f>IF(J23, I23, NA())</f>
        <v>#N/A</v>
      </c>
    </row>
    <row r="24" ht="17.25" customHeight="1">
      <c r="A24" s="154"/>
      <c r="B24" s="154"/>
      <c r="C24" s="154"/>
      <c r="D24" s="154"/>
      <c r="E24" s="154"/>
      <c r="F24" s="154"/>
      <c r="G24" s="154"/>
      <c r="H24" s="154"/>
      <c r="I24" s="154"/>
      <c r="J24" s="155"/>
      <c r="K24" s="154"/>
      <c r="L24" s="154"/>
    </row>
    <row r="25" ht="24.75" customHeight="1">
      <c r="A25" s="156"/>
      <c r="B25" s="8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ht="24.75" customHeight="1">
      <c r="A26" s="156"/>
      <c r="B26" s="8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ht="24.75" customHeight="1">
      <c r="A27" s="156"/>
      <c r="B27" s="86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ht="24.75" customHeight="1">
      <c r="A28" s="156"/>
      <c r="B28" s="86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ht="24.75" customHeight="1">
      <c r="A29" s="158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ht="24.75" customHeight="1">
      <c r="A30" s="158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ht="24.75" customHeight="1">
      <c r="A31" s="158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ht="24.75" customHeight="1">
      <c r="A32" s="158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ht="24.75" customHeight="1">
      <c r="A33" s="158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ht="24.75" customHeight="1">
      <c r="A34" s="158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ht="24.75" customHeight="1">
      <c r="A35" s="158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ht="24.75" customHeight="1">
      <c r="A36" s="158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ht="24.75" customHeight="1">
      <c r="A37" s="158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ht="24.75" customHeight="1">
      <c r="A38" s="158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ht="24.75" customHeight="1">
      <c r="A39" s="158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ht="24.75" customHeight="1">
      <c r="A40" s="158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ht="24.75" customHeight="1">
      <c r="A41" s="158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ht="24.75" customHeight="1">
      <c r="A42" s="158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ht="24.75" customHeight="1">
      <c r="A43" s="158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ht="24.75" customHeight="1">
      <c r="A44" s="158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</row>
    <row r="45" ht="24.75" customHeight="1">
      <c r="A45" s="158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</row>
    <row r="46" ht="24.75" customHeight="1">
      <c r="A46" s="158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</row>
    <row r="47" ht="24.75" customHeight="1">
      <c r="A47" s="158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</row>
    <row r="48" ht="24.75" customHeight="1">
      <c r="A48" s="158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</row>
    <row r="49" ht="24.75" customHeight="1">
      <c r="A49" s="158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</row>
    <row r="50" ht="24.75" customHeight="1">
      <c r="A50" s="158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</row>
    <row r="51" ht="24.75" customHeight="1">
      <c r="A51" s="158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</row>
    <row r="52" ht="24.75" customHeight="1">
      <c r="A52" s="158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</row>
    <row r="53" ht="24.75" customHeight="1">
      <c r="A53" s="158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</row>
    <row r="54" ht="24.75" customHeight="1">
      <c r="A54" s="158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</row>
    <row r="55" ht="24.75" customHeight="1">
      <c r="A55" s="158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</row>
    <row r="56" ht="24.75" customHeight="1">
      <c r="A56" s="158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</row>
    <row r="57" ht="24.75" customHeight="1">
      <c r="A57" s="158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</row>
    <row r="58" ht="24.75" customHeight="1">
      <c r="A58" s="158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</row>
    <row r="59" ht="24.75" customHeight="1">
      <c r="A59" s="158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</row>
    <row r="60" ht="24.75" customHeight="1">
      <c r="A60" s="158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</row>
    <row r="61" ht="24.75" customHeight="1">
      <c r="A61" s="158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</row>
    <row r="62" ht="24.75" customHeight="1">
      <c r="A62" s="158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</row>
    <row r="63" ht="24.75" customHeight="1">
      <c r="A63" s="158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</row>
    <row r="64" ht="24.75" customHeight="1">
      <c r="A64" s="158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</row>
    <row r="65" ht="24.75" customHeight="1">
      <c r="A65" s="158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</row>
    <row r="66" ht="24.75" customHeight="1">
      <c r="A66" s="158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</row>
    <row r="67" ht="24.75" customHeight="1">
      <c r="A67" s="158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</row>
    <row r="68" ht="24.75" customHeight="1">
      <c r="A68" s="158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</row>
    <row r="69" ht="24.75" customHeight="1">
      <c r="A69" s="158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</row>
    <row r="70" ht="24.75" customHeight="1">
      <c r="A70" s="158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</row>
    <row r="71" ht="24.75" customHeight="1">
      <c r="A71" s="158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</row>
    <row r="72" ht="24.75" customHeight="1">
      <c r="A72" s="158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</row>
    <row r="73" ht="24.75" customHeight="1">
      <c r="A73" s="158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</row>
    <row r="74" ht="24.75" customHeight="1">
      <c r="A74" s="158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</row>
    <row r="75" ht="24.75" customHeight="1">
      <c r="A75" s="158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</row>
    <row r="76" ht="24.75" customHeight="1">
      <c r="A76" s="158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</row>
    <row r="77" ht="24.75" customHeight="1">
      <c r="A77" s="158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</row>
    <row r="78" ht="24.75" customHeight="1">
      <c r="A78" s="158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</row>
    <row r="79" ht="24.75" customHeight="1">
      <c r="A79" s="158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</row>
    <row r="80" ht="24.75" customHeight="1">
      <c r="A80" s="158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</row>
    <row r="81" ht="24.75" customHeight="1">
      <c r="A81" s="158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</row>
    <row r="82" ht="24.75" customHeight="1">
      <c r="A82" s="158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</row>
    <row r="83" ht="24.75" customHeight="1">
      <c r="A83" s="158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</row>
    <row r="84" ht="24.75" customHeight="1">
      <c r="A84" s="158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</row>
    <row r="85" ht="24.75" customHeight="1">
      <c r="A85" s="158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</row>
    <row r="86" ht="24.75" customHeight="1">
      <c r="A86" s="158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</row>
    <row r="87" ht="24.75" customHeight="1">
      <c r="A87" s="158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</row>
    <row r="88" ht="24.75" customHeight="1">
      <c r="A88" s="158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</row>
    <row r="89" ht="24.75" customHeight="1">
      <c r="A89" s="158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</row>
    <row r="90" ht="24.75" customHeight="1">
      <c r="A90" s="158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</row>
    <row r="91" ht="24.75" customHeight="1">
      <c r="A91" s="158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</row>
    <row r="92" ht="24.75" customHeight="1">
      <c r="A92" s="158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</row>
    <row r="93" ht="24.75" customHeight="1">
      <c r="A93" s="158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</row>
    <row r="94" ht="24.75" customHeight="1">
      <c r="A94" s="158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</row>
    <row r="95" ht="24.75" customHeight="1">
      <c r="A95" s="158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</row>
    <row r="96" ht="24.75" customHeight="1">
      <c r="A96" s="158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</row>
    <row r="97" ht="24.75" customHeight="1">
      <c r="A97" s="158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</row>
    <row r="98" ht="24.75" customHeight="1">
      <c r="A98" s="158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</row>
    <row r="99" ht="24.75" customHeight="1">
      <c r="A99" s="158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</row>
    <row r="100" ht="24.75" customHeight="1">
      <c r="A100" s="158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</row>
    <row r="101" ht="24.75" customHeight="1">
      <c r="A101" s="158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</row>
    <row r="102" ht="24.75" customHeight="1">
      <c r="A102" s="158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</row>
    <row r="103" ht="24.75" customHeight="1">
      <c r="A103" s="158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</row>
    <row r="104" ht="24.75" customHeight="1">
      <c r="A104" s="158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</row>
    <row r="105" ht="24.75" customHeight="1">
      <c r="A105" s="158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</row>
    <row r="106" ht="24.75" customHeight="1">
      <c r="A106" s="158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</row>
    <row r="107" ht="24.75" customHeight="1">
      <c r="A107" s="158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</row>
    <row r="108" ht="24.75" customHeight="1">
      <c r="A108" s="158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</row>
    <row r="109" ht="24.75" customHeight="1">
      <c r="A109" s="158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</row>
    <row r="110" ht="24.75" customHeight="1">
      <c r="A110" s="158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</row>
    <row r="111" ht="24.75" customHeight="1">
      <c r="A111" s="158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</row>
    <row r="112" ht="24.75" customHeight="1">
      <c r="A112" s="158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</row>
    <row r="113" ht="24.75" customHeight="1">
      <c r="A113" s="158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</row>
    <row r="114" ht="24.75" customHeight="1">
      <c r="A114" s="158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</row>
    <row r="115" ht="24.75" customHeight="1">
      <c r="A115" s="158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</row>
    <row r="116" ht="24.75" customHeight="1">
      <c r="A116" s="158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</row>
    <row r="117" ht="24.75" customHeight="1">
      <c r="A117" s="158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</row>
    <row r="118" ht="24.75" customHeight="1">
      <c r="A118" s="158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</row>
    <row r="119" ht="24.75" customHeight="1">
      <c r="A119" s="158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</row>
    <row r="120" ht="24.75" customHeight="1">
      <c r="A120" s="158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</row>
    <row r="121" ht="24.75" customHeight="1">
      <c r="A121" s="158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</row>
    <row r="122" ht="24.75" customHeight="1">
      <c r="A122" s="158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</row>
    <row r="123" ht="24.75" customHeight="1">
      <c r="A123" s="158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</row>
    <row r="124" ht="24.75" customHeight="1">
      <c r="A124" s="158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</row>
    <row r="125" ht="24.75" customHeight="1">
      <c r="A125" s="158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</row>
    <row r="126" ht="24.75" customHeight="1">
      <c r="A126" s="158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</row>
    <row r="127" ht="24.75" customHeight="1">
      <c r="A127" s="158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</row>
    <row r="128" ht="24.75" customHeight="1">
      <c r="A128" s="158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</row>
    <row r="129" ht="24.75" customHeight="1">
      <c r="A129" s="158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</row>
    <row r="130" ht="24.75" customHeight="1">
      <c r="A130" s="158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</row>
    <row r="131" ht="24.75" customHeight="1">
      <c r="A131" s="158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</row>
    <row r="132" ht="24.75" customHeight="1">
      <c r="A132" s="158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</row>
    <row r="133" ht="24.75" customHeight="1">
      <c r="A133" s="158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</row>
    <row r="134" ht="24.75" customHeight="1">
      <c r="A134" s="158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</row>
    <row r="135" ht="24.75" customHeight="1">
      <c r="A135" s="158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</row>
    <row r="136" ht="24.75" customHeight="1">
      <c r="A136" s="158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</row>
    <row r="137" ht="24.75" customHeight="1">
      <c r="A137" s="158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</row>
    <row r="138" ht="24.75" customHeight="1">
      <c r="A138" s="158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</row>
    <row r="139" ht="24.75" customHeight="1">
      <c r="A139" s="158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</row>
    <row r="140" ht="24.75" customHeight="1">
      <c r="A140" s="158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</row>
    <row r="141" ht="24.75" customHeight="1">
      <c r="A141" s="158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</row>
    <row r="142" ht="24.75" customHeight="1">
      <c r="A142" s="158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</row>
    <row r="143" ht="24.75" customHeight="1">
      <c r="A143" s="158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</row>
    <row r="144" ht="24.75" customHeight="1">
      <c r="A144" s="158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</row>
    <row r="145" ht="24.75" customHeight="1">
      <c r="A145" s="158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</row>
    <row r="146" ht="24.75" customHeight="1">
      <c r="A146" s="158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</row>
    <row r="147" ht="24.75" customHeight="1">
      <c r="A147" s="158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</row>
    <row r="148" ht="24.75" customHeight="1">
      <c r="A148" s="158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</row>
    <row r="149" ht="24.75" customHeight="1">
      <c r="A149" s="158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</row>
    <row r="150" ht="24.75" customHeight="1">
      <c r="A150" s="158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</row>
    <row r="151" ht="24.75" customHeight="1">
      <c r="A151" s="158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</row>
    <row r="152" ht="24.75" customHeight="1">
      <c r="A152" s="158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</row>
    <row r="153" ht="24.75" customHeight="1">
      <c r="A153" s="158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</row>
    <row r="154" ht="24.75" customHeight="1">
      <c r="A154" s="158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</row>
    <row r="155" ht="24.75" customHeight="1">
      <c r="A155" s="158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</row>
    <row r="156" ht="24.75" customHeight="1">
      <c r="A156" s="158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</row>
    <row r="157" ht="24.75" customHeight="1">
      <c r="A157" s="158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</row>
    <row r="158" ht="24.75" customHeight="1">
      <c r="A158" s="158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</row>
    <row r="159" ht="24.75" customHeight="1">
      <c r="A159" s="158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</row>
    <row r="160" ht="24.75" customHeight="1">
      <c r="A160" s="158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</row>
    <row r="161" ht="24.75" customHeight="1">
      <c r="A161" s="158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</row>
    <row r="162" ht="24.75" customHeight="1">
      <c r="A162" s="158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</row>
    <row r="163" ht="24.75" customHeight="1">
      <c r="A163" s="158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</row>
    <row r="164" ht="24.75" customHeight="1">
      <c r="A164" s="158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</row>
    <row r="165" ht="24.75" customHeight="1">
      <c r="A165" s="158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</row>
    <row r="166" ht="24.75" customHeight="1">
      <c r="A166" s="158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</row>
    <row r="167" ht="24.75" customHeight="1">
      <c r="A167" s="158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</row>
    <row r="168" ht="24.75" customHeight="1">
      <c r="A168" s="158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</row>
    <row r="169" ht="24.75" customHeight="1">
      <c r="A169" s="158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</row>
    <row r="170" ht="24.75" customHeight="1">
      <c r="A170" s="158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</row>
    <row r="171" ht="24.75" customHeight="1">
      <c r="A171" s="158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</row>
    <row r="172" ht="24.75" customHeight="1">
      <c r="A172" s="158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</row>
    <row r="173" ht="24.75" customHeight="1">
      <c r="A173" s="158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</row>
    <row r="174" ht="24.75" customHeight="1">
      <c r="A174" s="158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</row>
    <row r="175" ht="24.75" customHeight="1">
      <c r="A175" s="158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</row>
    <row r="176" ht="24.75" customHeight="1">
      <c r="A176" s="158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</row>
    <row r="177" ht="24.75" customHeight="1">
      <c r="A177" s="158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</row>
    <row r="178" ht="24.75" customHeight="1">
      <c r="A178" s="158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</row>
    <row r="179" ht="24.75" customHeight="1">
      <c r="A179" s="158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</row>
    <row r="180" ht="24.75" customHeight="1">
      <c r="A180" s="158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</row>
    <row r="181" ht="24.75" customHeight="1">
      <c r="A181" s="158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</row>
    <row r="182" ht="24.75" customHeight="1">
      <c r="A182" s="158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</row>
    <row r="183" ht="24.75" customHeight="1">
      <c r="A183" s="158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</row>
    <row r="184" ht="24.75" customHeight="1">
      <c r="A184" s="158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</row>
    <row r="185" ht="24.75" customHeight="1">
      <c r="A185" s="158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</row>
    <row r="186" ht="24.75" customHeight="1">
      <c r="A186" s="158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</row>
    <row r="187" ht="24.75" customHeight="1">
      <c r="A187" s="158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</row>
    <row r="188" ht="24.75" customHeight="1">
      <c r="A188" s="158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</row>
    <row r="189" ht="24.75" customHeight="1">
      <c r="A189" s="158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</row>
    <row r="190" ht="24.75" customHeight="1">
      <c r="A190" s="158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</row>
    <row r="191" ht="24.75" customHeight="1">
      <c r="A191" s="158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</row>
    <row r="192" ht="24.75" customHeight="1">
      <c r="A192" s="158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</row>
    <row r="193" ht="24.75" customHeight="1">
      <c r="A193" s="158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</row>
    <row r="194" ht="24.75" customHeight="1">
      <c r="A194" s="158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</row>
    <row r="195" ht="24.75" customHeight="1">
      <c r="A195" s="158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</row>
    <row r="196" ht="24.75" customHeight="1">
      <c r="A196" s="158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</row>
    <row r="197" ht="24.75" customHeight="1">
      <c r="A197" s="158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</row>
    <row r="198" ht="24.75" customHeight="1">
      <c r="A198" s="158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</row>
    <row r="199" ht="24.75" customHeight="1">
      <c r="A199" s="158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</row>
    <row r="200" ht="24.75" customHeight="1">
      <c r="A200" s="158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</row>
    <row r="201" ht="24.75" customHeight="1">
      <c r="A201" s="158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</row>
    <row r="202" ht="24.75" customHeight="1">
      <c r="A202" s="158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</row>
    <row r="203" ht="24.75" customHeight="1">
      <c r="A203" s="158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</row>
    <row r="204" ht="24.75" customHeight="1">
      <c r="A204" s="158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</row>
    <row r="205" ht="24.75" customHeight="1">
      <c r="A205" s="158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</row>
    <row r="206" ht="24.75" customHeight="1">
      <c r="A206" s="158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</row>
    <row r="207" ht="24.75" customHeight="1">
      <c r="A207" s="158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</row>
    <row r="208" ht="24.75" customHeight="1">
      <c r="A208" s="158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</row>
    <row r="209" ht="24.75" customHeight="1">
      <c r="A209" s="158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</row>
    <row r="210" ht="24.75" customHeight="1">
      <c r="A210" s="158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</row>
    <row r="211" ht="24.75" customHeight="1">
      <c r="A211" s="158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</row>
    <row r="212" ht="24.75" customHeight="1">
      <c r="A212" s="158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</row>
    <row r="213" ht="24.75" customHeight="1">
      <c r="A213" s="158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</row>
    <row r="214" ht="24.75" customHeight="1">
      <c r="A214" s="158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</row>
    <row r="215" ht="24.75" customHeight="1">
      <c r="A215" s="158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</row>
    <row r="216" ht="24.75" customHeight="1">
      <c r="A216" s="158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</row>
    <row r="217" ht="24.75" customHeight="1">
      <c r="A217" s="158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</row>
    <row r="218" ht="24.75" customHeight="1">
      <c r="A218" s="158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</row>
    <row r="219" ht="24.75" customHeight="1">
      <c r="A219" s="158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</row>
    <row r="220" ht="24.75" customHeight="1">
      <c r="A220" s="158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</row>
    <row r="221" ht="24.75" customHeight="1">
      <c r="A221" s="158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</row>
    <row r="222" ht="24.75" customHeight="1">
      <c r="A222" s="158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</row>
    <row r="223" ht="24.75" customHeight="1">
      <c r="A223" s="158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</row>
    <row r="224" ht="24.75" customHeight="1">
      <c r="A224" s="158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</row>
    <row r="225" ht="24.75" customHeight="1">
      <c r="A225" s="158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</row>
    <row r="226" ht="24.75" customHeight="1">
      <c r="A226" s="158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</row>
    <row r="227" ht="24.75" customHeight="1">
      <c r="A227" s="158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</row>
    <row r="228" ht="24.75" customHeight="1">
      <c r="A228" s="158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</row>
    <row r="229" ht="24.75" customHeight="1">
      <c r="A229" s="158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</row>
    <row r="230" ht="24.75" customHeight="1">
      <c r="A230" s="158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</row>
    <row r="231" ht="24.75" customHeight="1">
      <c r="A231" s="158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</row>
    <row r="232" ht="24.75" customHeight="1">
      <c r="A232" s="158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</row>
    <row r="233" ht="24.75" customHeight="1">
      <c r="A233" s="158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</row>
    <row r="234" ht="24.75" customHeight="1">
      <c r="A234" s="158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</row>
    <row r="235" ht="24.75" customHeight="1">
      <c r="A235" s="158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</row>
    <row r="236" ht="24.75" customHeight="1">
      <c r="A236" s="158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</row>
    <row r="237" ht="24.75" customHeight="1">
      <c r="A237" s="158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</row>
    <row r="238" ht="24.75" customHeight="1">
      <c r="A238" s="158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</row>
    <row r="239" ht="24.75" customHeight="1">
      <c r="A239" s="158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</row>
    <row r="240" ht="24.75" customHeight="1">
      <c r="A240" s="158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</row>
    <row r="241" ht="24.75" customHeight="1">
      <c r="A241" s="158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</row>
    <row r="242" ht="24.75" customHeight="1">
      <c r="A242" s="158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</row>
    <row r="243" ht="24.75" customHeight="1">
      <c r="A243" s="158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</row>
    <row r="244" ht="24.75" customHeight="1">
      <c r="A244" s="158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</row>
    <row r="245" ht="24.75" customHeight="1">
      <c r="A245" s="158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</row>
    <row r="246" ht="24.75" customHeight="1">
      <c r="A246" s="158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</row>
    <row r="247" ht="24.75" customHeight="1">
      <c r="A247" s="158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</row>
    <row r="248" ht="24.75" customHeight="1">
      <c r="A248" s="158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</row>
    <row r="249" ht="24.75" customHeight="1">
      <c r="A249" s="158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</row>
    <row r="250" ht="24.75" customHeight="1">
      <c r="A250" s="158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</row>
    <row r="251" ht="24.75" customHeight="1">
      <c r="A251" s="158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</row>
    <row r="252" ht="24.75" customHeight="1">
      <c r="A252" s="158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</row>
    <row r="253" ht="24.75" customHeight="1">
      <c r="A253" s="158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</row>
    <row r="254" ht="24.75" customHeight="1">
      <c r="A254" s="158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</row>
    <row r="255" ht="24.75" customHeight="1">
      <c r="A255" s="158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</row>
    <row r="256" ht="24.75" customHeight="1">
      <c r="A256" s="158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</row>
    <row r="257" ht="24.75" customHeight="1">
      <c r="A257" s="158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</row>
    <row r="258" ht="24.75" customHeight="1">
      <c r="A258" s="158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</row>
    <row r="259" ht="24.75" customHeight="1">
      <c r="A259" s="158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</row>
    <row r="260" ht="24.75" customHeight="1">
      <c r="A260" s="158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</row>
    <row r="261" ht="24.75" customHeight="1">
      <c r="A261" s="158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</row>
    <row r="262" ht="24.75" customHeight="1">
      <c r="A262" s="158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</row>
    <row r="263" ht="24.75" customHeight="1">
      <c r="A263" s="158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</row>
    <row r="264" ht="24.75" customHeight="1">
      <c r="A264" s="158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</row>
    <row r="265" ht="24.75" customHeight="1">
      <c r="A265" s="158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</row>
    <row r="266" ht="24.75" customHeight="1">
      <c r="A266" s="158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</row>
    <row r="267" ht="24.75" customHeight="1">
      <c r="A267" s="158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</row>
    <row r="268" ht="24.75" customHeight="1">
      <c r="A268" s="158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</row>
    <row r="269" ht="24.75" customHeight="1">
      <c r="A269" s="158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</row>
    <row r="270" ht="24.75" customHeight="1">
      <c r="A270" s="158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</row>
    <row r="271" ht="24.75" customHeight="1">
      <c r="A271" s="158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</row>
    <row r="272" ht="24.75" customHeight="1">
      <c r="A272" s="158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</row>
    <row r="273" ht="24.75" customHeight="1">
      <c r="A273" s="158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</row>
    <row r="274" ht="24.75" customHeight="1">
      <c r="A274" s="158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</row>
    <row r="275" ht="24.75" customHeight="1">
      <c r="A275" s="158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</row>
    <row r="276" ht="24.75" customHeight="1">
      <c r="A276" s="158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</row>
    <row r="277" ht="24.75" customHeight="1">
      <c r="A277" s="158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</row>
    <row r="278" ht="24.75" customHeight="1">
      <c r="A278" s="158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</row>
    <row r="279" ht="24.75" customHeight="1">
      <c r="A279" s="158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</row>
    <row r="280" ht="24.75" customHeight="1">
      <c r="A280" s="158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</row>
    <row r="281" ht="24.75" customHeight="1">
      <c r="A281" s="158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</row>
    <row r="282" ht="24.75" customHeight="1">
      <c r="A282" s="158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</row>
    <row r="283" ht="24.75" customHeight="1">
      <c r="A283" s="158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</row>
    <row r="284" ht="24.75" customHeight="1">
      <c r="A284" s="158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</row>
    <row r="285" ht="24.75" customHeight="1">
      <c r="A285" s="158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</row>
    <row r="286" ht="24.75" customHeight="1">
      <c r="A286" s="158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</row>
    <row r="287" ht="24.75" customHeight="1">
      <c r="A287" s="158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</row>
    <row r="288" ht="24.75" customHeight="1">
      <c r="A288" s="158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</row>
    <row r="289" ht="24.75" customHeight="1">
      <c r="A289" s="158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</row>
    <row r="290" ht="24.75" customHeight="1">
      <c r="A290" s="158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</row>
    <row r="291" ht="24.75" customHeight="1">
      <c r="A291" s="158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</row>
    <row r="292" ht="24.75" customHeight="1">
      <c r="A292" s="158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</row>
    <row r="293" ht="24.75" customHeight="1">
      <c r="A293" s="158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</row>
    <row r="294" ht="24.75" customHeight="1">
      <c r="A294" s="158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</row>
    <row r="295" ht="24.75" customHeight="1">
      <c r="A295" s="158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</row>
    <row r="296" ht="24.75" customHeight="1">
      <c r="A296" s="158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</row>
    <row r="297" ht="24.75" customHeight="1">
      <c r="A297" s="158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</row>
    <row r="298" ht="24.75" customHeight="1">
      <c r="A298" s="158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</row>
    <row r="299" ht="24.75" customHeight="1">
      <c r="A299" s="158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</row>
    <row r="300" ht="24.75" customHeight="1">
      <c r="A300" s="158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</row>
    <row r="301" ht="24.75" customHeight="1">
      <c r="A301" s="158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</row>
    <row r="302" ht="24.75" customHeight="1">
      <c r="A302" s="158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</row>
    <row r="303" ht="24.75" customHeight="1">
      <c r="A303" s="158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</row>
    <row r="304" ht="24.75" customHeight="1">
      <c r="A304" s="158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</row>
    <row r="305" ht="24.75" customHeight="1">
      <c r="A305" s="158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</row>
    <row r="306" ht="24.75" customHeight="1">
      <c r="A306" s="158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</row>
    <row r="307" ht="24.75" customHeight="1">
      <c r="A307" s="158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</row>
    <row r="308" ht="24.75" customHeight="1">
      <c r="A308" s="158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</row>
    <row r="309" ht="24.75" customHeight="1">
      <c r="A309" s="158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</row>
    <row r="310" ht="24.75" customHeight="1">
      <c r="A310" s="158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</row>
    <row r="311" ht="24.75" customHeight="1">
      <c r="A311" s="158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</row>
    <row r="312" ht="24.75" customHeight="1">
      <c r="A312" s="158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</row>
    <row r="313" ht="24.75" customHeight="1">
      <c r="A313" s="158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</row>
    <row r="314" ht="24.75" customHeight="1">
      <c r="A314" s="158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</row>
    <row r="315" ht="24.75" customHeight="1">
      <c r="A315" s="158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</row>
    <row r="316" ht="24.75" customHeight="1">
      <c r="A316" s="158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</row>
    <row r="317" ht="24.75" customHeight="1">
      <c r="A317" s="158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</row>
    <row r="318" ht="24.75" customHeight="1">
      <c r="A318" s="158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</row>
    <row r="319" ht="24.75" customHeight="1">
      <c r="A319" s="158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</row>
    <row r="320" ht="24.75" customHeight="1">
      <c r="A320" s="158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</row>
    <row r="321" ht="24.75" customHeight="1">
      <c r="A321" s="158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</row>
    <row r="322" ht="24.75" customHeight="1">
      <c r="A322" s="158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</row>
    <row r="323" ht="24.75" customHeight="1">
      <c r="A323" s="158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</row>
    <row r="324" ht="24.75" customHeight="1">
      <c r="A324" s="158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</row>
    <row r="325" ht="24.75" customHeight="1">
      <c r="A325" s="158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</row>
    <row r="326" ht="24.75" customHeight="1">
      <c r="A326" s="158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</row>
    <row r="327" ht="24.75" customHeight="1">
      <c r="A327" s="158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</row>
    <row r="328" ht="24.75" customHeight="1">
      <c r="A328" s="158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</row>
    <row r="329" ht="24.75" customHeight="1">
      <c r="A329" s="158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</row>
    <row r="330" ht="24.75" customHeight="1">
      <c r="A330" s="158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</row>
    <row r="331" ht="24.75" customHeight="1">
      <c r="A331" s="158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</row>
    <row r="332" ht="24.75" customHeight="1">
      <c r="A332" s="158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</row>
    <row r="333" ht="24.75" customHeight="1">
      <c r="A333" s="158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</row>
    <row r="334" ht="24.75" customHeight="1">
      <c r="A334" s="158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</row>
    <row r="335" ht="24.75" customHeight="1">
      <c r="A335" s="158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</row>
    <row r="336" ht="24.75" customHeight="1">
      <c r="A336" s="158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</row>
    <row r="337" ht="24.75" customHeight="1">
      <c r="A337" s="158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</row>
    <row r="338" ht="24.75" customHeight="1">
      <c r="A338" s="158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</row>
    <row r="339" ht="24.75" customHeight="1">
      <c r="A339" s="158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</row>
    <row r="340" ht="24.75" customHeight="1">
      <c r="A340" s="158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</row>
    <row r="341" ht="24.75" customHeight="1">
      <c r="A341" s="158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</row>
    <row r="342" ht="24.75" customHeight="1">
      <c r="A342" s="158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</row>
    <row r="343" ht="24.75" customHeight="1">
      <c r="A343" s="158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</row>
    <row r="344" ht="24.75" customHeight="1">
      <c r="A344" s="158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</row>
    <row r="345" ht="24.75" customHeight="1">
      <c r="A345" s="158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</row>
    <row r="346" ht="24.75" customHeight="1">
      <c r="A346" s="158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</row>
    <row r="347" ht="24.75" customHeight="1">
      <c r="A347" s="158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</row>
    <row r="348" ht="24.75" customHeight="1">
      <c r="A348" s="158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</row>
    <row r="349" ht="24.75" customHeight="1">
      <c r="A349" s="158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</row>
    <row r="350" ht="24.75" customHeight="1">
      <c r="A350" s="158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</row>
    <row r="351" ht="24.75" customHeight="1">
      <c r="A351" s="158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</row>
    <row r="352" ht="24.75" customHeight="1">
      <c r="A352" s="158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</row>
    <row r="353" ht="24.75" customHeight="1">
      <c r="A353" s="158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</row>
    <row r="354" ht="24.75" customHeight="1">
      <c r="A354" s="158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</row>
    <row r="355" ht="24.75" customHeight="1">
      <c r="A355" s="158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</row>
    <row r="356" ht="24.75" customHeight="1">
      <c r="A356" s="158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</row>
    <row r="357" ht="24.75" customHeight="1">
      <c r="A357" s="158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</row>
    <row r="358" ht="24.75" customHeight="1">
      <c r="A358" s="158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</row>
    <row r="359" ht="24.75" customHeight="1">
      <c r="A359" s="158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</row>
    <row r="360" ht="24.75" customHeight="1">
      <c r="A360" s="158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</row>
    <row r="361" ht="24.75" customHeight="1">
      <c r="A361" s="158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</row>
    <row r="362" ht="24.75" customHeight="1">
      <c r="A362" s="158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</row>
    <row r="363" ht="24.75" customHeight="1">
      <c r="A363" s="158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</row>
    <row r="364" ht="24.75" customHeight="1">
      <c r="A364" s="158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</row>
    <row r="365" ht="24.75" customHeight="1">
      <c r="A365" s="158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</row>
    <row r="366" ht="24.75" customHeight="1">
      <c r="A366" s="158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</row>
    <row r="367" ht="24.75" customHeight="1">
      <c r="A367" s="158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</row>
    <row r="368" ht="24.75" customHeight="1">
      <c r="A368" s="158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</row>
    <row r="369" ht="24.75" customHeight="1">
      <c r="A369" s="158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</row>
    <row r="370" ht="24.75" customHeight="1">
      <c r="A370" s="158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</row>
    <row r="371" ht="24.75" customHeight="1">
      <c r="A371" s="158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</row>
    <row r="372" ht="24.75" customHeight="1">
      <c r="A372" s="158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</row>
    <row r="373" ht="24.75" customHeight="1">
      <c r="A373" s="158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</row>
    <row r="374" ht="24.75" customHeight="1">
      <c r="A374" s="158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</row>
    <row r="375" ht="24.75" customHeight="1">
      <c r="A375" s="158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</row>
    <row r="376" ht="24.75" customHeight="1">
      <c r="A376" s="158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</row>
    <row r="377" ht="24.75" customHeight="1">
      <c r="A377" s="158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</row>
    <row r="378" ht="24.75" customHeight="1">
      <c r="A378" s="158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</row>
    <row r="379" ht="24.75" customHeight="1">
      <c r="A379" s="158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</row>
    <row r="380" ht="24.75" customHeight="1">
      <c r="A380" s="158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</row>
    <row r="381" ht="24.75" customHeight="1">
      <c r="A381" s="158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</row>
    <row r="382" ht="24.75" customHeight="1">
      <c r="A382" s="158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</row>
    <row r="383" ht="24.75" customHeight="1">
      <c r="A383" s="158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</row>
    <row r="384" ht="24.75" customHeight="1">
      <c r="A384" s="158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</row>
    <row r="385" ht="24.75" customHeight="1">
      <c r="A385" s="158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</row>
    <row r="386" ht="24.75" customHeight="1">
      <c r="A386" s="158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</row>
    <row r="387" ht="24.75" customHeight="1">
      <c r="A387" s="158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</row>
    <row r="388" ht="24.75" customHeight="1">
      <c r="A388" s="158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</row>
    <row r="389" ht="24.75" customHeight="1">
      <c r="A389" s="158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</row>
    <row r="390" ht="24.75" customHeight="1">
      <c r="A390" s="158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</row>
    <row r="391" ht="24.75" customHeight="1">
      <c r="A391" s="158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</row>
    <row r="392" ht="24.75" customHeight="1">
      <c r="A392" s="158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</row>
    <row r="393" ht="24.75" customHeight="1">
      <c r="A393" s="158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</row>
    <row r="394" ht="24.75" customHeight="1">
      <c r="A394" s="158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</row>
    <row r="395" ht="24.75" customHeight="1">
      <c r="A395" s="158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</row>
    <row r="396" ht="24.75" customHeight="1">
      <c r="A396" s="158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</row>
    <row r="397" ht="24.75" customHeight="1">
      <c r="A397" s="158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</row>
    <row r="398" ht="24.75" customHeight="1">
      <c r="A398" s="158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</row>
    <row r="399" ht="24.75" customHeight="1">
      <c r="A399" s="158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</row>
    <row r="400" ht="24.75" customHeight="1">
      <c r="A400" s="158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</row>
    <row r="401" ht="24.75" customHeight="1">
      <c r="A401" s="158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</row>
    <row r="402" ht="24.75" customHeight="1">
      <c r="A402" s="158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</row>
    <row r="403" ht="24.75" customHeight="1">
      <c r="A403" s="158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</row>
    <row r="404" ht="24.75" customHeight="1">
      <c r="A404" s="158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</row>
    <row r="405" ht="24.75" customHeight="1">
      <c r="A405" s="158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</row>
    <row r="406" ht="24.75" customHeight="1">
      <c r="A406" s="158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</row>
    <row r="407" ht="24.75" customHeight="1">
      <c r="A407" s="158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</row>
    <row r="408" ht="24.75" customHeight="1">
      <c r="A408" s="158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</row>
    <row r="409" ht="24.75" customHeight="1">
      <c r="A409" s="158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</row>
    <row r="410" ht="24.75" customHeight="1">
      <c r="A410" s="158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</row>
    <row r="411" ht="24.75" customHeight="1">
      <c r="A411" s="158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</row>
    <row r="412" ht="24.75" customHeight="1">
      <c r="A412" s="158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</row>
    <row r="413" ht="24.75" customHeight="1">
      <c r="A413" s="158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</row>
    <row r="414" ht="24.75" customHeight="1">
      <c r="A414" s="158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</row>
    <row r="415" ht="24.75" customHeight="1">
      <c r="A415" s="158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</row>
    <row r="416" ht="24.75" customHeight="1">
      <c r="A416" s="158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</row>
    <row r="417" ht="24.75" customHeight="1">
      <c r="A417" s="158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</row>
    <row r="418" ht="24.75" customHeight="1">
      <c r="A418" s="158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</row>
    <row r="419" ht="24.75" customHeight="1">
      <c r="A419" s="158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</row>
    <row r="420" ht="24.75" customHeight="1">
      <c r="A420" s="158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</row>
    <row r="421" ht="24.75" customHeight="1">
      <c r="A421" s="158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</row>
    <row r="422" ht="24.75" customHeight="1">
      <c r="A422" s="158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</row>
    <row r="423" ht="24.75" customHeight="1">
      <c r="A423" s="158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</row>
    <row r="424" ht="24.75" customHeight="1">
      <c r="A424" s="158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</row>
    <row r="425" ht="24.75" customHeight="1">
      <c r="A425" s="158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</row>
    <row r="426" ht="24.75" customHeight="1">
      <c r="A426" s="158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</row>
    <row r="427" ht="24.75" customHeight="1">
      <c r="A427" s="158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</row>
    <row r="428" ht="24.75" customHeight="1">
      <c r="A428" s="158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</row>
    <row r="429" ht="24.75" customHeight="1">
      <c r="A429" s="158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</row>
    <row r="430" ht="24.75" customHeight="1">
      <c r="A430" s="158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</row>
    <row r="431" ht="24.75" customHeight="1">
      <c r="A431" s="158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</row>
    <row r="432" ht="24.75" customHeight="1">
      <c r="A432" s="158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</row>
    <row r="433" ht="24.75" customHeight="1">
      <c r="A433" s="158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</row>
    <row r="434" ht="24.75" customHeight="1">
      <c r="A434" s="158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</row>
    <row r="435" ht="24.75" customHeight="1">
      <c r="A435" s="158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</row>
    <row r="436" ht="24.75" customHeight="1">
      <c r="A436" s="158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</row>
    <row r="437" ht="24.75" customHeight="1">
      <c r="A437" s="158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</row>
    <row r="438" ht="24.75" customHeight="1">
      <c r="A438" s="158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</row>
    <row r="439" ht="24.75" customHeight="1">
      <c r="A439" s="158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</row>
    <row r="440" ht="24.75" customHeight="1">
      <c r="A440" s="158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</row>
    <row r="441" ht="24.75" customHeight="1">
      <c r="A441" s="158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</row>
    <row r="442" ht="24.75" customHeight="1">
      <c r="A442" s="158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</row>
    <row r="443" ht="24.75" customHeight="1">
      <c r="A443" s="158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</row>
    <row r="444" ht="24.75" customHeight="1">
      <c r="A444" s="158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</row>
    <row r="445" ht="24.75" customHeight="1">
      <c r="A445" s="158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</row>
    <row r="446" ht="24.75" customHeight="1">
      <c r="A446" s="158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</row>
    <row r="447" ht="24.75" customHeight="1">
      <c r="A447" s="158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</row>
    <row r="448" ht="24.75" customHeight="1">
      <c r="A448" s="158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</row>
    <row r="449" ht="24.75" customHeight="1">
      <c r="A449" s="158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</row>
    <row r="450" ht="24.75" customHeight="1">
      <c r="A450" s="158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</row>
    <row r="451" ht="24.75" customHeight="1">
      <c r="A451" s="158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</row>
    <row r="452" ht="24.75" customHeight="1">
      <c r="A452" s="158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</row>
    <row r="453" ht="24.75" customHeight="1">
      <c r="A453" s="158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</row>
    <row r="454" ht="24.75" customHeight="1">
      <c r="A454" s="158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</row>
    <row r="455" ht="24.75" customHeight="1">
      <c r="A455" s="158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</row>
    <row r="456" ht="24.75" customHeight="1">
      <c r="A456" s="158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</row>
    <row r="457" ht="24.75" customHeight="1">
      <c r="A457" s="158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</row>
    <row r="458" ht="24.75" customHeight="1">
      <c r="A458" s="158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</row>
    <row r="459" ht="24.75" customHeight="1">
      <c r="A459" s="158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</row>
    <row r="460" ht="24.75" customHeight="1">
      <c r="A460" s="158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</row>
    <row r="461" ht="24.75" customHeight="1">
      <c r="A461" s="158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</row>
    <row r="462" ht="24.75" customHeight="1">
      <c r="A462" s="158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</row>
    <row r="463" ht="24.75" customHeight="1">
      <c r="A463" s="158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</row>
    <row r="464" ht="24.75" customHeight="1">
      <c r="A464" s="158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</row>
    <row r="465" ht="24.75" customHeight="1">
      <c r="A465" s="158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</row>
    <row r="466" ht="24.75" customHeight="1">
      <c r="A466" s="158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</row>
    <row r="467" ht="24.75" customHeight="1">
      <c r="A467" s="158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</row>
    <row r="468" ht="24.75" customHeight="1">
      <c r="A468" s="158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</row>
    <row r="469" ht="24.75" customHeight="1">
      <c r="A469" s="158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</row>
    <row r="470" ht="24.75" customHeight="1">
      <c r="A470" s="158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</row>
    <row r="471" ht="24.75" customHeight="1">
      <c r="A471" s="158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</row>
    <row r="472" ht="24.75" customHeight="1">
      <c r="A472" s="158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</row>
    <row r="473" ht="24.75" customHeight="1">
      <c r="A473" s="158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</row>
    <row r="474" ht="24.75" customHeight="1">
      <c r="A474" s="158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</row>
    <row r="475" ht="24.75" customHeight="1">
      <c r="A475" s="158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</row>
    <row r="476" ht="24.75" customHeight="1">
      <c r="A476" s="158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</row>
    <row r="477" ht="24.75" customHeight="1">
      <c r="A477" s="158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</row>
    <row r="478" ht="24.75" customHeight="1">
      <c r="A478" s="158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</row>
    <row r="479" ht="24.75" customHeight="1">
      <c r="A479" s="158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</row>
    <row r="480" ht="24.75" customHeight="1">
      <c r="A480" s="158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</row>
    <row r="481" ht="24.75" customHeight="1">
      <c r="A481" s="158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</row>
    <row r="482" ht="24.75" customHeight="1">
      <c r="A482" s="158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</row>
    <row r="483" ht="24.75" customHeight="1">
      <c r="A483" s="158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</row>
    <row r="484" ht="24.75" customHeight="1">
      <c r="A484" s="158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</row>
    <row r="485" ht="24.75" customHeight="1">
      <c r="A485" s="158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</row>
    <row r="486" ht="24.75" customHeight="1">
      <c r="A486" s="158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</row>
    <row r="487" ht="24.75" customHeight="1">
      <c r="A487" s="158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</row>
    <row r="488" ht="24.75" customHeight="1">
      <c r="A488" s="158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</row>
    <row r="489" ht="24.75" customHeight="1">
      <c r="A489" s="158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</row>
    <row r="490" ht="24.75" customHeight="1">
      <c r="A490" s="158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</row>
    <row r="491" ht="24.75" customHeight="1">
      <c r="A491" s="158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</row>
    <row r="492" ht="24.75" customHeight="1">
      <c r="A492" s="158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</row>
    <row r="493" ht="24.75" customHeight="1">
      <c r="A493" s="158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</row>
    <row r="494" ht="24.75" customHeight="1">
      <c r="A494" s="158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</row>
    <row r="495" ht="24.75" customHeight="1">
      <c r="A495" s="158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</row>
    <row r="496" ht="24.75" customHeight="1">
      <c r="A496" s="158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</row>
    <row r="497" ht="24.75" customHeight="1">
      <c r="A497" s="158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</row>
    <row r="498" ht="24.75" customHeight="1">
      <c r="A498" s="158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</row>
    <row r="499" ht="24.75" customHeight="1">
      <c r="A499" s="158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</row>
    <row r="500" ht="24.75" customHeight="1">
      <c r="A500" s="158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</row>
    <row r="501" ht="24.75" customHeight="1">
      <c r="A501" s="158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</row>
    <row r="502" ht="24.75" customHeight="1">
      <c r="A502" s="158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</row>
    <row r="503" ht="24.75" customHeight="1">
      <c r="A503" s="158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</row>
    <row r="504" ht="24.75" customHeight="1">
      <c r="A504" s="158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</row>
    <row r="505" ht="24.75" customHeight="1">
      <c r="A505" s="158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</row>
    <row r="506" ht="24.75" customHeight="1">
      <c r="A506" s="158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</row>
    <row r="507" ht="24.75" customHeight="1">
      <c r="A507" s="158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</row>
    <row r="508" ht="24.75" customHeight="1">
      <c r="A508" s="158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</row>
    <row r="509" ht="24.75" customHeight="1">
      <c r="A509" s="158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</row>
    <row r="510" ht="24.75" customHeight="1">
      <c r="A510" s="158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</row>
    <row r="511" ht="24.75" customHeight="1">
      <c r="A511" s="158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</row>
    <row r="512" ht="24.75" customHeight="1">
      <c r="A512" s="158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</row>
    <row r="513" ht="24.75" customHeight="1">
      <c r="A513" s="158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</row>
    <row r="514" ht="24.75" customHeight="1">
      <c r="A514" s="158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</row>
    <row r="515" ht="24.75" customHeight="1">
      <c r="A515" s="158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</row>
    <row r="516" ht="24.75" customHeight="1">
      <c r="A516" s="158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</row>
    <row r="517" ht="24.75" customHeight="1">
      <c r="A517" s="158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</row>
    <row r="518" ht="24.75" customHeight="1">
      <c r="A518" s="158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</row>
    <row r="519" ht="24.75" customHeight="1">
      <c r="A519" s="158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</row>
    <row r="520" ht="24.75" customHeight="1">
      <c r="A520" s="158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</row>
    <row r="521" ht="24.75" customHeight="1">
      <c r="A521" s="158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</row>
    <row r="522" ht="24.75" customHeight="1">
      <c r="A522" s="158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</row>
    <row r="523" ht="24.75" customHeight="1">
      <c r="A523" s="158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</row>
    <row r="524" ht="24.75" customHeight="1">
      <c r="A524" s="158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</row>
    <row r="525" ht="24.75" customHeight="1">
      <c r="A525" s="158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</row>
    <row r="526" ht="24.75" customHeight="1">
      <c r="A526" s="158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</row>
    <row r="527" ht="24.75" customHeight="1">
      <c r="A527" s="158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</row>
    <row r="528" ht="24.75" customHeight="1">
      <c r="A528" s="158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</row>
    <row r="529" ht="24.75" customHeight="1">
      <c r="A529" s="158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</row>
    <row r="530" ht="24.75" customHeight="1">
      <c r="A530" s="158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</row>
    <row r="531" ht="24.75" customHeight="1">
      <c r="A531" s="158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</row>
    <row r="532" ht="24.75" customHeight="1">
      <c r="A532" s="158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</row>
    <row r="533" ht="24.75" customHeight="1">
      <c r="A533" s="158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</row>
    <row r="534" ht="24.75" customHeight="1">
      <c r="A534" s="158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</row>
    <row r="535" ht="24.75" customHeight="1">
      <c r="A535" s="158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</row>
    <row r="536" ht="24.75" customHeight="1">
      <c r="A536" s="158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</row>
    <row r="537" ht="24.75" customHeight="1">
      <c r="A537" s="158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</row>
    <row r="538" ht="24.75" customHeight="1">
      <c r="A538" s="158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</row>
    <row r="539" ht="24.75" customHeight="1">
      <c r="A539" s="158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</row>
    <row r="540" ht="24.75" customHeight="1">
      <c r="A540" s="158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</row>
    <row r="541" ht="24.75" customHeight="1">
      <c r="A541" s="158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</row>
    <row r="542" ht="24.75" customHeight="1">
      <c r="A542" s="158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</row>
    <row r="543" ht="24.75" customHeight="1">
      <c r="A543" s="158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</row>
    <row r="544" ht="24.75" customHeight="1">
      <c r="A544" s="158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</row>
    <row r="545" ht="24.75" customHeight="1">
      <c r="A545" s="158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</row>
    <row r="546" ht="24.75" customHeight="1">
      <c r="A546" s="158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</row>
    <row r="547" ht="24.75" customHeight="1">
      <c r="A547" s="158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</row>
    <row r="548" ht="24.75" customHeight="1">
      <c r="A548" s="158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</row>
    <row r="549" ht="24.75" customHeight="1">
      <c r="A549" s="158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</row>
    <row r="550" ht="24.75" customHeight="1">
      <c r="A550" s="158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</row>
    <row r="551" ht="24.75" customHeight="1">
      <c r="A551" s="158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</row>
    <row r="552" ht="24.75" customHeight="1">
      <c r="A552" s="158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</row>
    <row r="553" ht="24.75" customHeight="1">
      <c r="A553" s="158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</row>
    <row r="554" ht="24.75" customHeight="1">
      <c r="A554" s="158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</row>
    <row r="555" ht="24.75" customHeight="1">
      <c r="A555" s="158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</row>
    <row r="556" ht="24.75" customHeight="1">
      <c r="A556" s="158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</row>
    <row r="557" ht="24.75" customHeight="1">
      <c r="A557" s="158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</row>
    <row r="558" ht="24.75" customHeight="1">
      <c r="A558" s="158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</row>
    <row r="559" ht="24.75" customHeight="1">
      <c r="A559" s="158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</row>
    <row r="560" ht="24.75" customHeight="1">
      <c r="A560" s="158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</row>
    <row r="561" ht="24.75" customHeight="1">
      <c r="A561" s="158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</row>
    <row r="562" ht="24.75" customHeight="1">
      <c r="A562" s="158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</row>
    <row r="563" ht="24.75" customHeight="1">
      <c r="A563" s="158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</row>
    <row r="564" ht="24.75" customHeight="1">
      <c r="A564" s="158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</row>
    <row r="565" ht="24.75" customHeight="1">
      <c r="A565" s="158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</row>
    <row r="566" ht="24.75" customHeight="1">
      <c r="A566" s="158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</row>
    <row r="567" ht="24.75" customHeight="1">
      <c r="A567" s="158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</row>
    <row r="568" ht="24.75" customHeight="1">
      <c r="A568" s="158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</row>
    <row r="569" ht="24.75" customHeight="1">
      <c r="A569" s="158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</row>
    <row r="570" ht="24.75" customHeight="1">
      <c r="A570" s="158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</row>
    <row r="571" ht="24.75" customHeight="1">
      <c r="A571" s="158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</row>
    <row r="572" ht="24.75" customHeight="1">
      <c r="A572" s="158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</row>
    <row r="573" ht="24.75" customHeight="1">
      <c r="A573" s="158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</row>
    <row r="574" ht="24.75" customHeight="1">
      <c r="A574" s="158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</row>
    <row r="575" ht="24.75" customHeight="1">
      <c r="A575" s="158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</row>
    <row r="576" ht="24.75" customHeight="1">
      <c r="A576" s="158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</row>
    <row r="577" ht="24.75" customHeight="1">
      <c r="A577" s="158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</row>
    <row r="578" ht="24.75" customHeight="1">
      <c r="A578" s="158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</row>
    <row r="579" ht="24.75" customHeight="1">
      <c r="A579" s="158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</row>
    <row r="580" ht="24.75" customHeight="1">
      <c r="A580" s="158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</row>
    <row r="581" ht="24.75" customHeight="1">
      <c r="A581" s="158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</row>
    <row r="582" ht="24.75" customHeight="1">
      <c r="A582" s="158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</row>
    <row r="583" ht="24.75" customHeight="1">
      <c r="A583" s="158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</row>
    <row r="584" ht="24.75" customHeight="1">
      <c r="A584" s="158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</row>
    <row r="585" ht="24.75" customHeight="1">
      <c r="A585" s="158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</row>
    <row r="586" ht="24.75" customHeight="1">
      <c r="A586" s="158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</row>
    <row r="587" ht="24.75" customHeight="1">
      <c r="A587" s="158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</row>
    <row r="588" ht="24.75" customHeight="1">
      <c r="A588" s="158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</row>
    <row r="589" ht="24.75" customHeight="1">
      <c r="A589" s="158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</row>
    <row r="590" ht="24.75" customHeight="1">
      <c r="A590" s="158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</row>
    <row r="591" ht="24.75" customHeight="1">
      <c r="A591" s="158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</row>
    <row r="592" ht="24.75" customHeight="1">
      <c r="A592" s="158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</row>
    <row r="593" ht="24.75" customHeight="1">
      <c r="A593" s="158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</row>
    <row r="594" ht="24.75" customHeight="1">
      <c r="A594" s="158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</row>
    <row r="595" ht="24.75" customHeight="1">
      <c r="A595" s="158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</row>
    <row r="596" ht="24.75" customHeight="1">
      <c r="A596" s="158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</row>
    <row r="597" ht="24.75" customHeight="1">
      <c r="A597" s="158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</row>
    <row r="598" ht="24.75" customHeight="1">
      <c r="A598" s="158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</row>
    <row r="599" ht="24.75" customHeight="1">
      <c r="A599" s="158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</row>
    <row r="600" ht="24.75" customHeight="1">
      <c r="A600" s="158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</row>
    <row r="601" ht="24.75" customHeight="1">
      <c r="A601" s="158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</row>
    <row r="602" ht="24.75" customHeight="1">
      <c r="A602" s="158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</row>
    <row r="603" ht="24.75" customHeight="1">
      <c r="A603" s="158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</row>
    <row r="604" ht="24.75" customHeight="1">
      <c r="A604" s="158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</row>
    <row r="605" ht="24.75" customHeight="1">
      <c r="A605" s="158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</row>
    <row r="606" ht="24.75" customHeight="1">
      <c r="A606" s="158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</row>
    <row r="607" ht="24.75" customHeight="1">
      <c r="A607" s="158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</row>
    <row r="608" ht="24.75" customHeight="1">
      <c r="A608" s="158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</row>
    <row r="609" ht="24.75" customHeight="1">
      <c r="A609" s="158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</row>
    <row r="610" ht="24.75" customHeight="1">
      <c r="A610" s="158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</row>
    <row r="611" ht="24.75" customHeight="1">
      <c r="A611" s="158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</row>
    <row r="612" ht="24.75" customHeight="1">
      <c r="A612" s="158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</row>
    <row r="613" ht="24.75" customHeight="1">
      <c r="A613" s="158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</row>
    <row r="614" ht="24.75" customHeight="1">
      <c r="A614" s="158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</row>
    <row r="615" ht="24.75" customHeight="1">
      <c r="A615" s="158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</row>
    <row r="616" ht="24.75" customHeight="1">
      <c r="A616" s="158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</row>
    <row r="617" ht="24.75" customHeight="1">
      <c r="A617" s="158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</row>
    <row r="618" ht="24.75" customHeight="1">
      <c r="A618" s="158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</row>
    <row r="619" ht="24.75" customHeight="1">
      <c r="A619" s="158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</row>
    <row r="620" ht="24.75" customHeight="1">
      <c r="A620" s="158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</row>
    <row r="621" ht="24.75" customHeight="1">
      <c r="A621" s="158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</row>
    <row r="622" ht="24.75" customHeight="1">
      <c r="A622" s="158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</row>
    <row r="623" ht="24.75" customHeight="1">
      <c r="A623" s="158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</row>
    <row r="624" ht="24.75" customHeight="1">
      <c r="A624" s="158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</row>
    <row r="625" ht="24.75" customHeight="1">
      <c r="A625" s="158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</row>
    <row r="626" ht="24.75" customHeight="1">
      <c r="A626" s="158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</row>
    <row r="627" ht="24.75" customHeight="1">
      <c r="A627" s="158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</row>
    <row r="628" ht="24.75" customHeight="1">
      <c r="A628" s="158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</row>
    <row r="629" ht="24.75" customHeight="1">
      <c r="A629" s="158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</row>
    <row r="630" ht="24.75" customHeight="1">
      <c r="A630" s="158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</row>
    <row r="631" ht="24.75" customHeight="1">
      <c r="A631" s="158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</row>
    <row r="632" ht="24.75" customHeight="1">
      <c r="A632" s="158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</row>
    <row r="633" ht="24.75" customHeight="1">
      <c r="A633" s="158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</row>
    <row r="634" ht="24.75" customHeight="1">
      <c r="A634" s="158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</row>
    <row r="635" ht="24.75" customHeight="1">
      <c r="A635" s="158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</row>
    <row r="636" ht="24.75" customHeight="1">
      <c r="A636" s="158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</row>
    <row r="637" ht="24.75" customHeight="1">
      <c r="A637" s="158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</row>
    <row r="638" ht="24.75" customHeight="1">
      <c r="A638" s="158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</row>
    <row r="639" ht="24.75" customHeight="1">
      <c r="A639" s="158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</row>
    <row r="640" ht="24.75" customHeight="1">
      <c r="A640" s="158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</row>
    <row r="641" ht="24.75" customHeight="1">
      <c r="A641" s="158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</row>
    <row r="642" ht="24.75" customHeight="1">
      <c r="A642" s="158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</row>
    <row r="643" ht="24.75" customHeight="1">
      <c r="A643" s="158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</row>
    <row r="644" ht="24.75" customHeight="1">
      <c r="A644" s="158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</row>
    <row r="645" ht="24.75" customHeight="1">
      <c r="A645" s="158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</row>
    <row r="646" ht="24.75" customHeight="1">
      <c r="A646" s="158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</row>
    <row r="647" ht="24.75" customHeight="1">
      <c r="A647" s="158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</row>
    <row r="648" ht="24.75" customHeight="1">
      <c r="A648" s="158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</row>
    <row r="649" ht="24.75" customHeight="1">
      <c r="A649" s="158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</row>
    <row r="650" ht="24.75" customHeight="1">
      <c r="A650" s="158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</row>
    <row r="651" ht="24.75" customHeight="1">
      <c r="A651" s="158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</row>
    <row r="652" ht="24.75" customHeight="1">
      <c r="A652" s="158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</row>
    <row r="653" ht="24.75" customHeight="1">
      <c r="A653" s="158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</row>
    <row r="654" ht="24.75" customHeight="1">
      <c r="A654" s="158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</row>
    <row r="655" ht="24.75" customHeight="1">
      <c r="A655" s="158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</row>
    <row r="656" ht="24.75" customHeight="1">
      <c r="A656" s="158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</row>
    <row r="657" ht="24.75" customHeight="1">
      <c r="A657" s="158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</row>
    <row r="658" ht="24.75" customHeight="1">
      <c r="A658" s="158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</row>
    <row r="659" ht="24.75" customHeight="1">
      <c r="A659" s="158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</row>
    <row r="660" ht="24.75" customHeight="1">
      <c r="A660" s="158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</row>
    <row r="661" ht="24.75" customHeight="1">
      <c r="A661" s="158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</row>
    <row r="662" ht="24.75" customHeight="1">
      <c r="A662" s="158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</row>
    <row r="663" ht="24.75" customHeight="1">
      <c r="A663" s="158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</row>
    <row r="664" ht="24.75" customHeight="1">
      <c r="A664" s="158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</row>
    <row r="665" ht="24.75" customHeight="1">
      <c r="A665" s="158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</row>
    <row r="666" ht="24.75" customHeight="1">
      <c r="A666" s="158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</row>
    <row r="667" ht="24.75" customHeight="1">
      <c r="A667" s="158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</row>
    <row r="668" ht="24.75" customHeight="1">
      <c r="A668" s="158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</row>
    <row r="669" ht="24.75" customHeight="1">
      <c r="A669" s="158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</row>
    <row r="670" ht="24.75" customHeight="1">
      <c r="A670" s="158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</row>
    <row r="671" ht="24.75" customHeight="1">
      <c r="A671" s="158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</row>
    <row r="672" ht="24.75" customHeight="1">
      <c r="A672" s="158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</row>
    <row r="673" ht="24.75" customHeight="1">
      <c r="A673" s="158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</row>
    <row r="674" ht="24.75" customHeight="1">
      <c r="A674" s="158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</row>
    <row r="675" ht="24.75" customHeight="1">
      <c r="A675" s="158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</row>
    <row r="676" ht="24.75" customHeight="1">
      <c r="A676" s="158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</row>
    <row r="677" ht="24.75" customHeight="1">
      <c r="A677" s="158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</row>
    <row r="678" ht="24.75" customHeight="1">
      <c r="A678" s="158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</row>
    <row r="679" ht="24.75" customHeight="1">
      <c r="A679" s="158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</row>
    <row r="680" ht="24.75" customHeight="1">
      <c r="A680" s="158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</row>
    <row r="681" ht="24.75" customHeight="1">
      <c r="A681" s="158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</row>
    <row r="682" ht="24.75" customHeight="1">
      <c r="A682" s="158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</row>
    <row r="683" ht="24.75" customHeight="1">
      <c r="A683" s="158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</row>
    <row r="684" ht="24.75" customHeight="1">
      <c r="A684" s="158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</row>
    <row r="685" ht="24.75" customHeight="1">
      <c r="A685" s="158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</row>
    <row r="686" ht="24.75" customHeight="1">
      <c r="A686" s="158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</row>
    <row r="687" ht="24.75" customHeight="1">
      <c r="A687" s="158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</row>
    <row r="688" ht="24.75" customHeight="1">
      <c r="A688" s="158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</row>
    <row r="689" ht="24.75" customHeight="1">
      <c r="A689" s="158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</row>
    <row r="690" ht="24.75" customHeight="1">
      <c r="A690" s="158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</row>
    <row r="691" ht="24.75" customHeight="1">
      <c r="A691" s="158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</row>
    <row r="692" ht="24.75" customHeight="1">
      <c r="A692" s="158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</row>
    <row r="693" ht="24.75" customHeight="1">
      <c r="A693" s="158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</row>
    <row r="694" ht="24.75" customHeight="1">
      <c r="A694" s="158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</row>
    <row r="695" ht="24.75" customHeight="1">
      <c r="A695" s="158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</row>
    <row r="696" ht="24.75" customHeight="1">
      <c r="A696" s="158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</row>
    <row r="697" ht="24.75" customHeight="1">
      <c r="A697" s="158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</row>
    <row r="698" ht="24.75" customHeight="1">
      <c r="A698" s="158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</row>
    <row r="699" ht="24.75" customHeight="1">
      <c r="A699" s="158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</row>
    <row r="700" ht="24.75" customHeight="1">
      <c r="A700" s="158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</row>
    <row r="701" ht="24.75" customHeight="1">
      <c r="A701" s="158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</row>
    <row r="702" ht="24.75" customHeight="1">
      <c r="A702" s="158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</row>
    <row r="703" ht="24.75" customHeight="1">
      <c r="A703" s="158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</row>
    <row r="704" ht="24.75" customHeight="1">
      <c r="A704" s="158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</row>
    <row r="705" ht="24.75" customHeight="1">
      <c r="A705" s="158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</row>
    <row r="706" ht="24.75" customHeight="1">
      <c r="A706" s="158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</row>
    <row r="707" ht="24.75" customHeight="1">
      <c r="A707" s="158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</row>
    <row r="708" ht="24.75" customHeight="1">
      <c r="A708" s="158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</row>
    <row r="709" ht="24.75" customHeight="1">
      <c r="A709" s="158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</row>
    <row r="710" ht="24.75" customHeight="1">
      <c r="A710" s="158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</row>
    <row r="711" ht="24.75" customHeight="1">
      <c r="A711" s="158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</row>
    <row r="712" ht="24.75" customHeight="1">
      <c r="A712" s="158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</row>
    <row r="713" ht="24.75" customHeight="1">
      <c r="A713" s="158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</row>
    <row r="714" ht="24.75" customHeight="1">
      <c r="A714" s="158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</row>
    <row r="715" ht="24.75" customHeight="1">
      <c r="A715" s="158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</row>
    <row r="716" ht="24.75" customHeight="1">
      <c r="A716" s="158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</row>
    <row r="717" ht="24.75" customHeight="1">
      <c r="A717" s="158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</row>
    <row r="718" ht="24.75" customHeight="1">
      <c r="A718" s="158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</row>
    <row r="719" ht="24.75" customHeight="1">
      <c r="A719" s="158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</row>
    <row r="720" ht="24.75" customHeight="1">
      <c r="A720" s="158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</row>
    <row r="721" ht="24.75" customHeight="1">
      <c r="A721" s="158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</row>
    <row r="722" ht="24.75" customHeight="1">
      <c r="A722" s="158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</row>
    <row r="723" ht="24.75" customHeight="1">
      <c r="A723" s="158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</row>
    <row r="724" ht="24.75" customHeight="1">
      <c r="A724" s="158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</row>
    <row r="725" ht="24.75" customHeight="1">
      <c r="A725" s="158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</row>
    <row r="726" ht="24.75" customHeight="1">
      <c r="A726" s="158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</row>
    <row r="727" ht="24.75" customHeight="1">
      <c r="A727" s="158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</row>
    <row r="728" ht="24.75" customHeight="1">
      <c r="A728" s="158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</row>
    <row r="729" ht="24.75" customHeight="1">
      <c r="A729" s="158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</row>
    <row r="730" ht="24.75" customHeight="1">
      <c r="A730" s="158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</row>
    <row r="731" ht="24.75" customHeight="1">
      <c r="A731" s="158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</row>
    <row r="732" ht="24.75" customHeight="1">
      <c r="A732" s="158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</row>
    <row r="733" ht="24.75" customHeight="1">
      <c r="A733" s="158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</row>
    <row r="734" ht="24.75" customHeight="1">
      <c r="A734" s="158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</row>
    <row r="735" ht="24.75" customHeight="1">
      <c r="A735" s="158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</row>
    <row r="736" ht="24.75" customHeight="1">
      <c r="A736" s="158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</row>
    <row r="737" ht="24.75" customHeight="1">
      <c r="A737" s="158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</row>
    <row r="738" ht="24.75" customHeight="1">
      <c r="A738" s="158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</row>
    <row r="739" ht="24.75" customHeight="1">
      <c r="A739" s="158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</row>
    <row r="740" ht="24.75" customHeight="1">
      <c r="A740" s="158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</row>
    <row r="741" ht="24.75" customHeight="1">
      <c r="A741" s="158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</row>
    <row r="742" ht="24.75" customHeight="1">
      <c r="A742" s="158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</row>
    <row r="743" ht="24.75" customHeight="1">
      <c r="A743" s="158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</row>
    <row r="744" ht="24.75" customHeight="1">
      <c r="A744" s="158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</row>
    <row r="745" ht="24.75" customHeight="1">
      <c r="A745" s="158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</row>
    <row r="746" ht="24.75" customHeight="1">
      <c r="A746" s="158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</row>
    <row r="747" ht="24.75" customHeight="1">
      <c r="A747" s="158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</row>
    <row r="748" ht="24.75" customHeight="1">
      <c r="A748" s="158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</row>
    <row r="749" ht="24.75" customHeight="1">
      <c r="A749" s="158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</row>
    <row r="750" ht="24.75" customHeight="1">
      <c r="A750" s="158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</row>
    <row r="751" ht="24.75" customHeight="1">
      <c r="A751" s="158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</row>
    <row r="752" ht="24.75" customHeight="1">
      <c r="A752" s="158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</row>
    <row r="753" ht="24.75" customHeight="1">
      <c r="A753" s="158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</row>
    <row r="754" ht="24.75" customHeight="1">
      <c r="A754" s="158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</row>
    <row r="755" ht="24.75" customHeight="1">
      <c r="A755" s="158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</row>
    <row r="756" ht="24.75" customHeight="1">
      <c r="A756" s="158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</row>
    <row r="757" ht="24.75" customHeight="1">
      <c r="A757" s="158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</row>
    <row r="758" ht="24.75" customHeight="1">
      <c r="A758" s="158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</row>
    <row r="759" ht="24.75" customHeight="1">
      <c r="A759" s="158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</row>
    <row r="760" ht="24.75" customHeight="1">
      <c r="A760" s="158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</row>
    <row r="761" ht="24.75" customHeight="1">
      <c r="A761" s="158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</row>
    <row r="762" ht="24.75" customHeight="1">
      <c r="A762" s="158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</row>
    <row r="763" ht="24.75" customHeight="1">
      <c r="A763" s="158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</row>
    <row r="764" ht="24.75" customHeight="1">
      <c r="A764" s="158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</row>
    <row r="765" ht="24.75" customHeight="1">
      <c r="A765" s="158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</row>
    <row r="766" ht="24.75" customHeight="1">
      <c r="A766" s="158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</row>
    <row r="767" ht="24.75" customHeight="1">
      <c r="A767" s="158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</row>
    <row r="768" ht="24.75" customHeight="1">
      <c r="A768" s="158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</row>
    <row r="769" ht="24.75" customHeight="1">
      <c r="A769" s="158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</row>
    <row r="770" ht="24.75" customHeight="1">
      <c r="A770" s="158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</row>
    <row r="771" ht="24.75" customHeight="1">
      <c r="A771" s="158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</row>
    <row r="772" ht="24.75" customHeight="1">
      <c r="A772" s="158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</row>
    <row r="773" ht="24.75" customHeight="1">
      <c r="A773" s="158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</row>
    <row r="774" ht="24.75" customHeight="1">
      <c r="A774" s="158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</row>
    <row r="775" ht="24.75" customHeight="1">
      <c r="A775" s="158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</row>
    <row r="776" ht="24.75" customHeight="1">
      <c r="A776" s="158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</row>
    <row r="777" ht="24.75" customHeight="1">
      <c r="A777" s="158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</row>
    <row r="778" ht="24.75" customHeight="1">
      <c r="A778" s="158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</row>
    <row r="779" ht="24.75" customHeight="1">
      <c r="A779" s="158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</row>
    <row r="780" ht="24.75" customHeight="1">
      <c r="A780" s="158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</row>
    <row r="781" ht="24.75" customHeight="1">
      <c r="A781" s="158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</row>
    <row r="782" ht="24.75" customHeight="1">
      <c r="A782" s="158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</row>
    <row r="783" ht="24.75" customHeight="1">
      <c r="A783" s="158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</row>
    <row r="784" ht="24.75" customHeight="1">
      <c r="A784" s="158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</row>
    <row r="785" ht="24.75" customHeight="1">
      <c r="A785" s="158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</row>
    <row r="786" ht="24.75" customHeight="1">
      <c r="A786" s="158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</row>
    <row r="787" ht="24.75" customHeight="1">
      <c r="A787" s="158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</row>
    <row r="788" ht="24.75" customHeight="1">
      <c r="A788" s="158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</row>
    <row r="789" ht="24.75" customHeight="1">
      <c r="A789" s="158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</row>
    <row r="790" ht="24.75" customHeight="1">
      <c r="A790" s="158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</row>
    <row r="791" ht="24.75" customHeight="1">
      <c r="A791" s="158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</row>
    <row r="792" ht="24.75" customHeight="1">
      <c r="A792" s="158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</row>
    <row r="793" ht="24.75" customHeight="1">
      <c r="A793" s="158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</row>
    <row r="794" ht="24.75" customHeight="1">
      <c r="A794" s="158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</row>
    <row r="795" ht="24.75" customHeight="1">
      <c r="A795" s="158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</row>
    <row r="796" ht="24.75" customHeight="1">
      <c r="A796" s="158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</row>
    <row r="797" ht="24.75" customHeight="1">
      <c r="A797" s="158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</row>
    <row r="798" ht="24.75" customHeight="1">
      <c r="A798" s="158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</row>
    <row r="799" ht="24.75" customHeight="1">
      <c r="A799" s="158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</row>
    <row r="800" ht="24.75" customHeight="1">
      <c r="A800" s="158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</row>
    <row r="801" ht="24.75" customHeight="1">
      <c r="A801" s="158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</row>
    <row r="802" ht="24.75" customHeight="1">
      <c r="A802" s="158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</row>
    <row r="803" ht="24.75" customHeight="1">
      <c r="A803" s="158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</row>
    <row r="804" ht="24.75" customHeight="1">
      <c r="A804" s="158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</row>
    <row r="805" ht="24.75" customHeight="1">
      <c r="A805" s="158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</row>
    <row r="806" ht="24.75" customHeight="1">
      <c r="A806" s="158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</row>
    <row r="807" ht="24.75" customHeight="1">
      <c r="A807" s="158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</row>
    <row r="808" ht="24.75" customHeight="1">
      <c r="A808" s="158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</row>
    <row r="809" ht="24.75" customHeight="1">
      <c r="A809" s="158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</row>
    <row r="810" ht="24.75" customHeight="1">
      <c r="A810" s="158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</row>
    <row r="811" ht="24.75" customHeight="1">
      <c r="A811" s="158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</row>
    <row r="812" ht="24.75" customHeight="1">
      <c r="A812" s="158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</row>
    <row r="813" ht="24.75" customHeight="1">
      <c r="A813" s="158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</row>
    <row r="814" ht="24.75" customHeight="1">
      <c r="A814" s="158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</row>
    <row r="815" ht="24.75" customHeight="1">
      <c r="A815" s="158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</row>
    <row r="816" ht="24.75" customHeight="1">
      <c r="A816" s="158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</row>
    <row r="817" ht="24.75" customHeight="1">
      <c r="A817" s="158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</row>
    <row r="818" ht="24.75" customHeight="1">
      <c r="A818" s="158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</row>
    <row r="819" ht="24.75" customHeight="1">
      <c r="A819" s="158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</row>
    <row r="820" ht="24.75" customHeight="1">
      <c r="A820" s="158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</row>
    <row r="821" ht="24.75" customHeight="1">
      <c r="A821" s="158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</row>
    <row r="822" ht="24.75" customHeight="1">
      <c r="A822" s="158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</row>
    <row r="823" ht="24.75" customHeight="1">
      <c r="A823" s="158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</row>
    <row r="824" ht="24.75" customHeight="1">
      <c r="A824" s="158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</row>
    <row r="825" ht="24.75" customHeight="1">
      <c r="A825" s="158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</row>
    <row r="826" ht="24.75" customHeight="1">
      <c r="A826" s="158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</row>
    <row r="827" ht="24.75" customHeight="1">
      <c r="A827" s="158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</row>
    <row r="828" ht="24.75" customHeight="1">
      <c r="A828" s="158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</row>
    <row r="829" ht="24.75" customHeight="1">
      <c r="A829" s="158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</row>
    <row r="830" ht="24.75" customHeight="1">
      <c r="A830" s="158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</row>
    <row r="831" ht="24.75" customHeight="1">
      <c r="A831" s="158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</row>
    <row r="832" ht="24.75" customHeight="1">
      <c r="A832" s="158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</row>
    <row r="833" ht="24.75" customHeight="1">
      <c r="A833" s="158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</row>
    <row r="834" ht="24.75" customHeight="1">
      <c r="A834" s="158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</row>
    <row r="835" ht="24.75" customHeight="1">
      <c r="A835" s="158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</row>
    <row r="836" ht="24.75" customHeight="1">
      <c r="A836" s="158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</row>
    <row r="837" ht="24.75" customHeight="1">
      <c r="A837" s="158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</row>
    <row r="838" ht="24.75" customHeight="1">
      <c r="A838" s="158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</row>
    <row r="839" ht="24.75" customHeight="1">
      <c r="A839" s="158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</row>
    <row r="840" ht="24.75" customHeight="1">
      <c r="A840" s="158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</row>
    <row r="841" ht="24.75" customHeight="1">
      <c r="A841" s="158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</row>
    <row r="842" ht="24.75" customHeight="1">
      <c r="A842" s="158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</row>
    <row r="843" ht="24.75" customHeight="1">
      <c r="A843" s="158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</row>
    <row r="844" ht="24.75" customHeight="1">
      <c r="A844" s="158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</row>
    <row r="845" ht="24.75" customHeight="1">
      <c r="A845" s="158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</row>
    <row r="846" ht="24.75" customHeight="1">
      <c r="A846" s="158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</row>
    <row r="847" ht="24.75" customHeight="1">
      <c r="A847" s="158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</row>
    <row r="848" ht="24.75" customHeight="1">
      <c r="A848" s="158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</row>
    <row r="849" ht="24.75" customHeight="1">
      <c r="A849" s="158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</row>
    <row r="850" ht="24.75" customHeight="1">
      <c r="A850" s="158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</row>
    <row r="851" ht="24.75" customHeight="1">
      <c r="A851" s="158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</row>
    <row r="852" ht="24.75" customHeight="1">
      <c r="A852" s="158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</row>
    <row r="853" ht="24.75" customHeight="1">
      <c r="A853" s="158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</row>
    <row r="854" ht="24.75" customHeight="1">
      <c r="A854" s="158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</row>
    <row r="855" ht="24.75" customHeight="1">
      <c r="A855" s="158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</row>
    <row r="856" ht="24.75" customHeight="1">
      <c r="A856" s="158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</row>
    <row r="857" ht="24.75" customHeight="1">
      <c r="A857" s="158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</row>
    <row r="858" ht="24.75" customHeight="1">
      <c r="A858" s="158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</row>
    <row r="859" ht="24.75" customHeight="1">
      <c r="A859" s="158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</row>
    <row r="860" ht="24.75" customHeight="1">
      <c r="A860" s="158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</row>
    <row r="861" ht="24.75" customHeight="1">
      <c r="A861" s="158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</row>
    <row r="862" ht="24.75" customHeight="1">
      <c r="A862" s="158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</row>
    <row r="863" ht="24.75" customHeight="1">
      <c r="A863" s="158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</row>
    <row r="864" ht="24.75" customHeight="1">
      <c r="A864" s="158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</row>
    <row r="865" ht="24.75" customHeight="1">
      <c r="A865" s="158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</row>
    <row r="866" ht="24.75" customHeight="1">
      <c r="A866" s="158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</row>
    <row r="867" ht="24.75" customHeight="1">
      <c r="A867" s="158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</row>
    <row r="868" ht="24.75" customHeight="1">
      <c r="A868" s="158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</row>
    <row r="869" ht="24.75" customHeight="1">
      <c r="A869" s="158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</row>
    <row r="870" ht="24.75" customHeight="1">
      <c r="A870" s="158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</row>
    <row r="871" ht="24.75" customHeight="1">
      <c r="A871" s="158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</row>
    <row r="872" ht="24.75" customHeight="1">
      <c r="A872" s="158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</row>
    <row r="873" ht="24.75" customHeight="1">
      <c r="A873" s="158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</row>
    <row r="874" ht="24.75" customHeight="1">
      <c r="A874" s="158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</row>
    <row r="875" ht="24.75" customHeight="1">
      <c r="A875" s="158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</row>
    <row r="876" ht="24.75" customHeight="1">
      <c r="A876" s="158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</row>
    <row r="877" ht="24.75" customHeight="1">
      <c r="A877" s="158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</row>
    <row r="878" ht="24.75" customHeight="1">
      <c r="A878" s="158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</row>
    <row r="879" ht="24.75" customHeight="1">
      <c r="A879" s="158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</row>
    <row r="880" ht="24.75" customHeight="1">
      <c r="A880" s="158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</row>
    <row r="881" ht="24.75" customHeight="1">
      <c r="A881" s="158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</row>
    <row r="882" ht="24.75" customHeight="1">
      <c r="A882" s="158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</row>
    <row r="883" ht="24.75" customHeight="1">
      <c r="A883" s="158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</row>
    <row r="884" ht="24.75" customHeight="1">
      <c r="A884" s="158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</row>
    <row r="885" ht="24.75" customHeight="1">
      <c r="A885" s="158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</row>
    <row r="886" ht="24.75" customHeight="1">
      <c r="A886" s="158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</row>
    <row r="887" ht="24.75" customHeight="1">
      <c r="A887" s="158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</row>
    <row r="888" ht="24.75" customHeight="1">
      <c r="A888" s="158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</row>
    <row r="889" ht="24.75" customHeight="1">
      <c r="A889" s="158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</row>
    <row r="890" ht="24.75" customHeight="1">
      <c r="A890" s="158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</row>
    <row r="891" ht="24.75" customHeight="1">
      <c r="A891" s="158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</row>
    <row r="892" ht="24.75" customHeight="1">
      <c r="A892" s="158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</row>
    <row r="893" ht="24.75" customHeight="1">
      <c r="A893" s="158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</row>
    <row r="894" ht="24.75" customHeight="1">
      <c r="A894" s="158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</row>
    <row r="895" ht="24.75" customHeight="1">
      <c r="A895" s="158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</row>
    <row r="896" ht="24.75" customHeight="1">
      <c r="A896" s="158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</row>
    <row r="897" ht="24.75" customHeight="1">
      <c r="A897" s="158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</row>
    <row r="898" ht="24.75" customHeight="1">
      <c r="A898" s="158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</row>
    <row r="899" ht="24.75" customHeight="1">
      <c r="A899" s="158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</row>
    <row r="900" ht="24.75" customHeight="1">
      <c r="A900" s="158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</row>
    <row r="901" ht="24.75" customHeight="1">
      <c r="A901" s="158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</row>
    <row r="902" ht="24.75" customHeight="1">
      <c r="A902" s="158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</row>
    <row r="903" ht="24.75" customHeight="1">
      <c r="A903" s="158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</row>
    <row r="904" ht="24.75" customHeight="1">
      <c r="A904" s="158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</row>
    <row r="905" ht="24.75" customHeight="1">
      <c r="A905" s="158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</row>
    <row r="906" ht="24.75" customHeight="1">
      <c r="A906" s="158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</row>
    <row r="907" ht="24.75" customHeight="1">
      <c r="A907" s="158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</row>
    <row r="908" ht="24.75" customHeight="1">
      <c r="A908" s="158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</row>
    <row r="909" ht="24.75" customHeight="1">
      <c r="A909" s="158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</row>
    <row r="910" ht="24.75" customHeight="1">
      <c r="A910" s="158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</row>
    <row r="911" ht="24.75" customHeight="1">
      <c r="A911" s="158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</row>
    <row r="912" ht="24.75" customHeight="1">
      <c r="A912" s="158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</row>
    <row r="913" ht="24.75" customHeight="1">
      <c r="A913" s="158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</row>
    <row r="914" ht="24.75" customHeight="1">
      <c r="A914" s="158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</row>
    <row r="915" ht="24.75" customHeight="1">
      <c r="A915" s="158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</row>
    <row r="916" ht="24.75" customHeight="1">
      <c r="A916" s="158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</row>
    <row r="917" ht="24.75" customHeight="1">
      <c r="A917" s="158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</row>
    <row r="918" ht="24.75" customHeight="1">
      <c r="A918" s="158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</row>
    <row r="919" ht="24.75" customHeight="1">
      <c r="A919" s="158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</row>
    <row r="920" ht="24.75" customHeight="1">
      <c r="A920" s="158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</row>
    <row r="921" ht="24.75" customHeight="1">
      <c r="A921" s="158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</row>
    <row r="922" ht="24.75" customHeight="1">
      <c r="A922" s="158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</row>
    <row r="923" ht="24.75" customHeight="1">
      <c r="A923" s="158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</row>
    <row r="924" ht="24.75" customHeight="1">
      <c r="A924" s="158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</row>
    <row r="925" ht="24.75" customHeight="1">
      <c r="A925" s="158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</row>
    <row r="926" ht="24.75" customHeight="1">
      <c r="A926" s="158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</row>
    <row r="927" ht="24.75" customHeight="1">
      <c r="A927" s="158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</row>
    <row r="928" ht="24.75" customHeight="1">
      <c r="A928" s="158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</row>
    <row r="929" ht="24.75" customHeight="1">
      <c r="A929" s="158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</row>
    <row r="930" ht="24.75" customHeight="1">
      <c r="A930" s="158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</row>
    <row r="931" ht="24.75" customHeight="1">
      <c r="A931" s="158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</row>
    <row r="932" ht="24.75" customHeight="1">
      <c r="A932" s="158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</row>
    <row r="933" ht="24.75" customHeight="1">
      <c r="A933" s="158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</row>
    <row r="934" ht="24.75" customHeight="1">
      <c r="A934" s="158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</row>
    <row r="935" ht="24.75" customHeight="1">
      <c r="A935" s="158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</row>
    <row r="936" ht="24.75" customHeight="1">
      <c r="A936" s="158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</row>
    <row r="937" ht="24.75" customHeight="1">
      <c r="A937" s="158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</row>
    <row r="938" ht="24.75" customHeight="1">
      <c r="A938" s="158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</row>
    <row r="939" ht="24.75" customHeight="1">
      <c r="A939" s="158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</row>
    <row r="940" ht="24.75" customHeight="1">
      <c r="A940" s="158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</row>
    <row r="941" ht="24.75" customHeight="1">
      <c r="A941" s="158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</row>
    <row r="942" ht="24.75" customHeight="1">
      <c r="A942" s="158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</row>
    <row r="943" ht="24.75" customHeight="1">
      <c r="A943" s="158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</row>
    <row r="944" ht="24.75" customHeight="1">
      <c r="A944" s="158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</row>
    <row r="945" ht="24.75" customHeight="1">
      <c r="A945" s="158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</row>
    <row r="946" ht="24.75" customHeight="1">
      <c r="A946" s="158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</row>
    <row r="947" ht="24.75" customHeight="1">
      <c r="A947" s="158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</row>
    <row r="948" ht="24.75" customHeight="1">
      <c r="A948" s="158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</row>
    <row r="949" ht="24.75" customHeight="1">
      <c r="A949" s="158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</row>
    <row r="950" ht="24.75" customHeight="1">
      <c r="A950" s="158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</row>
    <row r="951" ht="24.75" customHeight="1">
      <c r="A951" s="158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</row>
    <row r="952" ht="24.75" customHeight="1">
      <c r="A952" s="158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</row>
    <row r="953" ht="24.75" customHeight="1">
      <c r="A953" s="158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</row>
    <row r="954" ht="24.75" customHeight="1">
      <c r="A954" s="158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</row>
    <row r="955" ht="24.75" customHeight="1">
      <c r="A955" s="158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</row>
    <row r="956" ht="24.75" customHeight="1">
      <c r="A956" s="158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</row>
    <row r="957" ht="24.75" customHeight="1">
      <c r="A957" s="158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</row>
    <row r="958" ht="24.75" customHeight="1">
      <c r="A958" s="158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</row>
    <row r="959" ht="24.75" customHeight="1">
      <c r="A959" s="158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</row>
    <row r="960" ht="24.75" customHeight="1">
      <c r="A960" s="158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</row>
    <row r="961" ht="24.75" customHeight="1">
      <c r="A961" s="158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</row>
    <row r="962" ht="24.75" customHeight="1">
      <c r="A962" s="158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</row>
    <row r="963" ht="24.75" customHeight="1">
      <c r="A963" s="158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</row>
    <row r="964" ht="24.75" customHeight="1">
      <c r="A964" s="158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</row>
    <row r="965" ht="24.75" customHeight="1">
      <c r="A965" s="158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</row>
    <row r="966" ht="24.75" customHeight="1">
      <c r="A966" s="158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</row>
    <row r="967" ht="24.75" customHeight="1">
      <c r="A967" s="158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</row>
    <row r="968" ht="24.75" customHeight="1">
      <c r="A968" s="158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</row>
    <row r="969" ht="24.75" customHeight="1">
      <c r="A969" s="158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</row>
    <row r="970" ht="24.75" customHeight="1">
      <c r="A970" s="158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</row>
    <row r="971" ht="24.75" customHeight="1">
      <c r="A971" s="158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</row>
    <row r="972" ht="24.75" customHeight="1">
      <c r="A972" s="158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</row>
    <row r="973" ht="24.75" customHeight="1">
      <c r="A973" s="158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</row>
    <row r="974" ht="24.75" customHeight="1">
      <c r="A974" s="158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</row>
    <row r="975" ht="24.75" customHeight="1">
      <c r="A975" s="158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</row>
    <row r="976" ht="24.75" customHeight="1">
      <c r="A976" s="158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</row>
    <row r="977" ht="24.75" customHeight="1">
      <c r="A977" s="158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</row>
    <row r="978" ht="24.75" customHeight="1">
      <c r="A978" s="158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</row>
    <row r="979" ht="24.75" customHeight="1">
      <c r="A979" s="158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</row>
    <row r="980" ht="24.75" customHeight="1">
      <c r="A980" s="158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</row>
    <row r="981" ht="24.75" customHeight="1">
      <c r="A981" s="158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</row>
    <row r="982" ht="24.75" customHeight="1">
      <c r="A982" s="158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</row>
    <row r="983" ht="24.75" customHeight="1">
      <c r="A983" s="158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</row>
    <row r="984" ht="24.75" customHeight="1">
      <c r="A984" s="158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</row>
    <row r="985" ht="24.75" customHeight="1">
      <c r="A985" s="158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</row>
    <row r="986" ht="24.75" customHeight="1">
      <c r="A986" s="158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</row>
    <row r="987" ht="24.75" customHeight="1">
      <c r="A987" s="158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</row>
    <row r="988" ht="24.75" customHeight="1">
      <c r="A988" s="158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</row>
    <row r="989" ht="24.75" customHeight="1">
      <c r="A989" s="158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</row>
    <row r="990" ht="24.75" customHeight="1">
      <c r="A990" s="158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</row>
    <row r="991" ht="24.75" customHeight="1">
      <c r="A991" s="158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</row>
    <row r="992" ht="24.75" customHeight="1">
      <c r="A992" s="158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</row>
    <row r="993" ht="24.75" customHeight="1">
      <c r="A993" s="158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</row>
    <row r="994" ht="24.75" customHeight="1">
      <c r="A994" s="158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</row>
    <row r="995" ht="24.75" customHeight="1">
      <c r="A995" s="158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</row>
    <row r="996" ht="24.75" customHeight="1">
      <c r="A996" s="158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</row>
    <row r="997" ht="24.75" customHeight="1">
      <c r="A997" s="158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</row>
    <row r="998" ht="24.75" customHeight="1">
      <c r="A998" s="158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</row>
    <row r="999" ht="24.75" customHeight="1">
      <c r="A999" s="158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</row>
    <row r="1000" ht="24.75" customHeight="1">
      <c r="A1000" s="158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</row>
    <row r="1001" ht="24.75" customHeight="1">
      <c r="A1001" s="158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</row>
    <row r="1002" ht="24.75" customHeight="1">
      <c r="A1002" s="158"/>
      <c r="B1002" s="157"/>
      <c r="C1002" s="157"/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</row>
    <row r="1003" ht="24.75" customHeight="1">
      <c r="A1003" s="158"/>
      <c r="B1003" s="157"/>
      <c r="C1003" s="157"/>
      <c r="D1003" s="157"/>
      <c r="E1003" s="157"/>
      <c r="F1003" s="157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</row>
    <row r="1004" ht="24.75" customHeight="1">
      <c r="A1004" s="158"/>
      <c r="B1004" s="157"/>
      <c r="C1004" s="157"/>
      <c r="D1004" s="157"/>
      <c r="E1004" s="157"/>
      <c r="F1004" s="157"/>
      <c r="G1004" s="157"/>
      <c r="H1004" s="157"/>
      <c r="I1004" s="157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</row>
    <row r="1005" ht="24.75" customHeight="1">
      <c r="A1005" s="158"/>
      <c r="B1005" s="157"/>
      <c r="C1005" s="157"/>
      <c r="D1005" s="157"/>
      <c r="E1005" s="157"/>
      <c r="F1005" s="157"/>
      <c r="G1005" s="157"/>
      <c r="H1005" s="157"/>
      <c r="I1005" s="157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</row>
    <row r="1006" ht="24.75" customHeight="1">
      <c r="A1006" s="158"/>
      <c r="B1006" s="157"/>
      <c r="C1006" s="157"/>
      <c r="D1006" s="157"/>
      <c r="E1006" s="157"/>
      <c r="F1006" s="157"/>
      <c r="G1006" s="157"/>
      <c r="H1006" s="157"/>
      <c r="I1006" s="157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</row>
    <row r="1007" ht="24.75" customHeight="1">
      <c r="A1007" s="158"/>
      <c r="B1007" s="157"/>
      <c r="C1007" s="157"/>
      <c r="D1007" s="157"/>
      <c r="E1007" s="157"/>
      <c r="F1007" s="157"/>
      <c r="G1007" s="157"/>
      <c r="H1007" s="157"/>
      <c r="I1007" s="157"/>
      <c r="J1007" s="157"/>
      <c r="K1007" s="157"/>
      <c r="L1007" s="157"/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  <c r="X1007" s="157"/>
      <c r="Y1007" s="157"/>
    </row>
    <row r="1008" ht="24.75" customHeight="1">
      <c r="A1008" s="158"/>
      <c r="B1008" s="157"/>
      <c r="C1008" s="157"/>
      <c r="D1008" s="157"/>
      <c r="E1008" s="157"/>
      <c r="F1008" s="157"/>
      <c r="G1008" s="157"/>
      <c r="H1008" s="157"/>
      <c r="I1008" s="157"/>
      <c r="J1008" s="157"/>
      <c r="K1008" s="157"/>
      <c r="L1008" s="157"/>
      <c r="M1008" s="157"/>
      <c r="N1008" s="157"/>
      <c r="O1008" s="157"/>
      <c r="P1008" s="157"/>
      <c r="Q1008" s="157"/>
      <c r="R1008" s="157"/>
      <c r="S1008" s="157"/>
      <c r="T1008" s="157"/>
      <c r="U1008" s="157"/>
      <c r="V1008" s="157"/>
      <c r="W1008" s="157"/>
      <c r="X1008" s="157"/>
      <c r="Y1008" s="157"/>
    </row>
    <row r="1009" ht="24.75" customHeight="1">
      <c r="A1009" s="158"/>
      <c r="B1009" s="157"/>
      <c r="C1009" s="157"/>
      <c r="D1009" s="157"/>
      <c r="E1009" s="157"/>
      <c r="F1009" s="157"/>
      <c r="G1009" s="157"/>
      <c r="H1009" s="157"/>
      <c r="I1009" s="157"/>
      <c r="J1009" s="157"/>
      <c r="K1009" s="157"/>
      <c r="L1009" s="157"/>
      <c r="M1009" s="157"/>
      <c r="N1009" s="157"/>
      <c r="O1009" s="157"/>
      <c r="P1009" s="157"/>
      <c r="Q1009" s="157"/>
      <c r="R1009" s="157"/>
      <c r="S1009" s="157"/>
      <c r="T1009" s="157"/>
      <c r="U1009" s="157"/>
      <c r="V1009" s="157"/>
      <c r="W1009" s="157"/>
      <c r="X1009" s="157"/>
      <c r="Y1009" s="157"/>
    </row>
    <row r="1010" ht="24.75" customHeight="1">
      <c r="A1010" s="158"/>
      <c r="B1010" s="157"/>
      <c r="C1010" s="157"/>
      <c r="D1010" s="157"/>
      <c r="E1010" s="157"/>
      <c r="F1010" s="157"/>
      <c r="G1010" s="157"/>
      <c r="H1010" s="157"/>
      <c r="I1010" s="157"/>
      <c r="J1010" s="157"/>
      <c r="K1010" s="157"/>
      <c r="L1010" s="157"/>
      <c r="M1010" s="157"/>
      <c r="N1010" s="157"/>
      <c r="O1010" s="157"/>
      <c r="P1010" s="157"/>
      <c r="Q1010" s="157"/>
      <c r="R1010" s="157"/>
      <c r="S1010" s="157"/>
      <c r="T1010" s="157"/>
      <c r="U1010" s="157"/>
      <c r="V1010" s="157"/>
      <c r="W1010" s="157"/>
      <c r="X1010" s="157"/>
      <c r="Y1010" s="157"/>
    </row>
    <row r="1011" ht="24.75" customHeight="1">
      <c r="A1011" s="158"/>
      <c r="B1011" s="157"/>
      <c r="C1011" s="157"/>
      <c r="D1011" s="157"/>
      <c r="E1011" s="157"/>
      <c r="F1011" s="157"/>
      <c r="G1011" s="157"/>
      <c r="H1011" s="157"/>
      <c r="I1011" s="157"/>
      <c r="J1011" s="157"/>
      <c r="K1011" s="157"/>
      <c r="L1011" s="157"/>
      <c r="M1011" s="157"/>
      <c r="N1011" s="157"/>
      <c r="O1011" s="157"/>
      <c r="P1011" s="157"/>
      <c r="Q1011" s="157"/>
      <c r="R1011" s="157"/>
      <c r="S1011" s="157"/>
      <c r="T1011" s="157"/>
      <c r="U1011" s="157"/>
      <c r="V1011" s="157"/>
      <c r="W1011" s="157"/>
      <c r="X1011" s="157"/>
      <c r="Y1011" s="157"/>
    </row>
    <row r="1012" ht="24.75" customHeight="1">
      <c r="A1012" s="158"/>
      <c r="B1012" s="157"/>
      <c r="C1012" s="157"/>
      <c r="D1012" s="157"/>
      <c r="E1012" s="157"/>
      <c r="F1012" s="157"/>
      <c r="G1012" s="157"/>
      <c r="H1012" s="157"/>
      <c r="I1012" s="157"/>
      <c r="J1012" s="157"/>
      <c r="K1012" s="157"/>
      <c r="L1012" s="157"/>
      <c r="M1012" s="157"/>
      <c r="N1012" s="157"/>
      <c r="O1012" s="157"/>
      <c r="P1012" s="157"/>
      <c r="Q1012" s="157"/>
      <c r="R1012" s="157"/>
      <c r="S1012" s="157"/>
      <c r="T1012" s="157"/>
      <c r="U1012" s="157"/>
      <c r="V1012" s="157"/>
      <c r="W1012" s="157"/>
      <c r="X1012" s="157"/>
      <c r="Y1012" s="157"/>
    </row>
    <row r="1013" ht="24.75" customHeight="1">
      <c r="A1013" s="158"/>
      <c r="B1013" s="157"/>
      <c r="C1013" s="157"/>
      <c r="D1013" s="157"/>
      <c r="E1013" s="157"/>
      <c r="F1013" s="157"/>
      <c r="G1013" s="157"/>
      <c r="H1013" s="157"/>
      <c r="I1013" s="157"/>
      <c r="J1013" s="157"/>
      <c r="K1013" s="157"/>
      <c r="L1013" s="15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  <c r="X1013" s="157"/>
      <c r="Y1013" s="157"/>
    </row>
    <row r="1014" ht="24.75" customHeight="1">
      <c r="A1014" s="158"/>
      <c r="B1014" s="157"/>
      <c r="C1014" s="157"/>
      <c r="D1014" s="157"/>
      <c r="E1014" s="157"/>
      <c r="F1014" s="157"/>
      <c r="G1014" s="157"/>
      <c r="H1014" s="157"/>
      <c r="I1014" s="157"/>
      <c r="J1014" s="157"/>
      <c r="K1014" s="157"/>
      <c r="L1014" s="157"/>
      <c r="M1014" s="157"/>
      <c r="N1014" s="157"/>
      <c r="O1014" s="157"/>
      <c r="P1014" s="157"/>
      <c r="Q1014" s="157"/>
      <c r="R1014" s="157"/>
      <c r="S1014" s="157"/>
      <c r="T1014" s="157"/>
      <c r="U1014" s="157"/>
      <c r="V1014" s="157"/>
      <c r="W1014" s="157"/>
      <c r="X1014" s="157"/>
      <c r="Y1014" s="157"/>
    </row>
    <row r="1015" ht="24.75" customHeight="1">
      <c r="A1015" s="158"/>
      <c r="B1015" s="157"/>
      <c r="C1015" s="157"/>
      <c r="D1015" s="157"/>
      <c r="E1015" s="157"/>
      <c r="F1015" s="157"/>
      <c r="G1015" s="157"/>
      <c r="H1015" s="157"/>
      <c r="I1015" s="157"/>
      <c r="J1015" s="157"/>
      <c r="K1015" s="157"/>
      <c r="L1015" s="157"/>
      <c r="M1015" s="157"/>
      <c r="N1015" s="157"/>
      <c r="O1015" s="157"/>
      <c r="P1015" s="157"/>
      <c r="Q1015" s="157"/>
      <c r="R1015" s="157"/>
      <c r="S1015" s="157"/>
      <c r="T1015" s="157"/>
      <c r="U1015" s="157"/>
      <c r="V1015" s="157"/>
      <c r="W1015" s="157"/>
      <c r="X1015" s="157"/>
      <c r="Y1015" s="157"/>
    </row>
    <row r="1016" ht="24.75" customHeight="1">
      <c r="A1016" s="158"/>
      <c r="B1016" s="157"/>
      <c r="C1016" s="157"/>
      <c r="D1016" s="157"/>
      <c r="E1016" s="157"/>
      <c r="F1016" s="157"/>
      <c r="G1016" s="157"/>
      <c r="H1016" s="157"/>
      <c r="I1016" s="157"/>
      <c r="J1016" s="157"/>
      <c r="K1016" s="157"/>
      <c r="L1016" s="157"/>
      <c r="M1016" s="157"/>
      <c r="N1016" s="157"/>
      <c r="O1016" s="157"/>
      <c r="P1016" s="157"/>
      <c r="Q1016" s="157"/>
      <c r="R1016" s="157"/>
      <c r="S1016" s="157"/>
      <c r="T1016" s="157"/>
      <c r="U1016" s="157"/>
      <c r="V1016" s="157"/>
      <c r="W1016" s="157"/>
      <c r="X1016" s="157"/>
      <c r="Y1016" s="157"/>
    </row>
    <row r="1017" ht="24.75" customHeight="1">
      <c r="A1017" s="158"/>
      <c r="B1017" s="157"/>
      <c r="C1017" s="157"/>
      <c r="D1017" s="157"/>
      <c r="E1017" s="157"/>
      <c r="F1017" s="157"/>
      <c r="G1017" s="157"/>
      <c r="H1017" s="157"/>
      <c r="I1017" s="157"/>
      <c r="J1017" s="157"/>
      <c r="K1017" s="157"/>
      <c r="L1017" s="157"/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  <c r="X1017" s="157"/>
      <c r="Y1017" s="157"/>
    </row>
    <row r="1018" ht="24.75" customHeight="1">
      <c r="A1018" s="158"/>
      <c r="B1018" s="157"/>
      <c r="C1018" s="157"/>
      <c r="D1018" s="157"/>
      <c r="E1018" s="157"/>
      <c r="F1018" s="157"/>
      <c r="G1018" s="157"/>
      <c r="H1018" s="157"/>
      <c r="I1018" s="157"/>
      <c r="J1018" s="157"/>
      <c r="K1018" s="157"/>
      <c r="L1018" s="157"/>
      <c r="M1018" s="157"/>
      <c r="N1018" s="157"/>
      <c r="O1018" s="157"/>
      <c r="P1018" s="157"/>
      <c r="Q1018" s="157"/>
      <c r="R1018" s="157"/>
      <c r="S1018" s="157"/>
      <c r="T1018" s="157"/>
      <c r="U1018" s="157"/>
      <c r="V1018" s="157"/>
      <c r="W1018" s="157"/>
      <c r="X1018" s="157"/>
      <c r="Y1018" s="157"/>
    </row>
    <row r="1019" ht="24.75" customHeight="1">
      <c r="A1019" s="158"/>
      <c r="B1019" s="157"/>
      <c r="C1019" s="157"/>
      <c r="D1019" s="157"/>
      <c r="E1019" s="157"/>
      <c r="F1019" s="157"/>
      <c r="G1019" s="157"/>
      <c r="H1019" s="157"/>
      <c r="I1019" s="157"/>
      <c r="J1019" s="157"/>
      <c r="K1019" s="157"/>
      <c r="L1019" s="157"/>
      <c r="M1019" s="157"/>
      <c r="N1019" s="157"/>
      <c r="O1019" s="157"/>
      <c r="P1019" s="157"/>
      <c r="Q1019" s="157"/>
      <c r="R1019" s="157"/>
      <c r="S1019" s="157"/>
      <c r="T1019" s="157"/>
      <c r="U1019" s="157"/>
      <c r="V1019" s="157"/>
      <c r="W1019" s="157"/>
      <c r="X1019" s="157"/>
      <c r="Y1019" s="157"/>
    </row>
    <row r="1020" ht="24.75" customHeight="1">
      <c r="A1020" s="158"/>
      <c r="B1020" s="157"/>
      <c r="C1020" s="157"/>
      <c r="D1020" s="157"/>
      <c r="E1020" s="157"/>
      <c r="F1020" s="157"/>
      <c r="G1020" s="157"/>
      <c r="H1020" s="157"/>
      <c r="I1020" s="157"/>
      <c r="J1020" s="157"/>
      <c r="K1020" s="157"/>
      <c r="L1020" s="157"/>
      <c r="M1020" s="157"/>
      <c r="N1020" s="157"/>
      <c r="O1020" s="157"/>
      <c r="P1020" s="157"/>
      <c r="Q1020" s="157"/>
      <c r="R1020" s="157"/>
      <c r="S1020" s="157"/>
      <c r="T1020" s="157"/>
      <c r="U1020" s="157"/>
      <c r="V1020" s="157"/>
      <c r="W1020" s="157"/>
      <c r="X1020" s="157"/>
      <c r="Y1020" s="157"/>
    </row>
    <row r="1021" ht="24.75" customHeight="1">
      <c r="A1021" s="158"/>
      <c r="B1021" s="157"/>
      <c r="C1021" s="157"/>
      <c r="D1021" s="157"/>
      <c r="E1021" s="157"/>
      <c r="F1021" s="157"/>
      <c r="G1021" s="157"/>
      <c r="H1021" s="157"/>
      <c r="I1021" s="157"/>
      <c r="J1021" s="157"/>
      <c r="K1021" s="157"/>
      <c r="L1021" s="157"/>
      <c r="M1021" s="157"/>
      <c r="N1021" s="157"/>
      <c r="O1021" s="157"/>
      <c r="P1021" s="157"/>
      <c r="Q1021" s="157"/>
      <c r="R1021" s="157"/>
      <c r="S1021" s="157"/>
      <c r="T1021" s="157"/>
      <c r="U1021" s="157"/>
      <c r="V1021" s="157"/>
      <c r="W1021" s="157"/>
      <c r="X1021" s="157"/>
      <c r="Y1021" s="157"/>
    </row>
    <row r="1022" ht="24.75" customHeight="1">
      <c r="A1022" s="158"/>
      <c r="B1022" s="157"/>
      <c r="C1022" s="157"/>
      <c r="D1022" s="157"/>
      <c r="E1022" s="157"/>
      <c r="F1022" s="157"/>
      <c r="G1022" s="157"/>
      <c r="H1022" s="157"/>
      <c r="I1022" s="157"/>
      <c r="J1022" s="157"/>
      <c r="K1022" s="157"/>
      <c r="L1022" s="157"/>
      <c r="M1022" s="157"/>
      <c r="N1022" s="157"/>
      <c r="O1022" s="157"/>
      <c r="P1022" s="157"/>
      <c r="Q1022" s="157"/>
      <c r="R1022" s="157"/>
      <c r="S1022" s="157"/>
      <c r="T1022" s="157"/>
      <c r="U1022" s="157"/>
      <c r="V1022" s="157"/>
      <c r="W1022" s="157"/>
      <c r="X1022" s="157"/>
      <c r="Y1022" s="157"/>
    </row>
    <row r="1023" ht="24.75" customHeight="1">
      <c r="A1023" s="158"/>
      <c r="B1023" s="157"/>
      <c r="C1023" s="157"/>
      <c r="D1023" s="157"/>
      <c r="E1023" s="157"/>
      <c r="F1023" s="157"/>
      <c r="G1023" s="157"/>
      <c r="H1023" s="157"/>
      <c r="I1023" s="157"/>
      <c r="J1023" s="157"/>
      <c r="K1023" s="157"/>
      <c r="L1023" s="157"/>
      <c r="M1023" s="157"/>
      <c r="N1023" s="157"/>
      <c r="O1023" s="157"/>
      <c r="P1023" s="157"/>
      <c r="Q1023" s="157"/>
      <c r="R1023" s="157"/>
      <c r="S1023" s="157"/>
      <c r="T1023" s="157"/>
      <c r="U1023" s="157"/>
      <c r="V1023" s="157"/>
      <c r="W1023" s="157"/>
      <c r="X1023" s="157"/>
      <c r="Y1023" s="157"/>
    </row>
    <row r="1024" ht="24.75" customHeight="1">
      <c r="A1024" s="158"/>
      <c r="B1024" s="157"/>
      <c r="C1024" s="157"/>
      <c r="D1024" s="157"/>
      <c r="E1024" s="157"/>
      <c r="F1024" s="157"/>
      <c r="G1024" s="157"/>
      <c r="H1024" s="157"/>
      <c r="I1024" s="157"/>
      <c r="J1024" s="157"/>
      <c r="K1024" s="157"/>
      <c r="L1024" s="157"/>
      <c r="M1024" s="157"/>
      <c r="N1024" s="157"/>
      <c r="O1024" s="157"/>
      <c r="P1024" s="157"/>
      <c r="Q1024" s="157"/>
      <c r="R1024" s="157"/>
      <c r="S1024" s="157"/>
      <c r="T1024" s="157"/>
      <c r="U1024" s="157"/>
      <c r="V1024" s="157"/>
      <c r="W1024" s="157"/>
      <c r="X1024" s="157"/>
      <c r="Y1024" s="157"/>
    </row>
    <row r="1025" ht="24.75" customHeight="1">
      <c r="A1025" s="158"/>
      <c r="B1025" s="157"/>
      <c r="C1025" s="157"/>
      <c r="D1025" s="157"/>
      <c r="E1025" s="157"/>
      <c r="F1025" s="157"/>
      <c r="G1025" s="157"/>
      <c r="H1025" s="157"/>
      <c r="I1025" s="157"/>
      <c r="J1025" s="157"/>
      <c r="K1025" s="157"/>
      <c r="L1025" s="157"/>
      <c r="M1025" s="157"/>
      <c r="N1025" s="157"/>
      <c r="O1025" s="157"/>
      <c r="P1025" s="157"/>
      <c r="Q1025" s="157"/>
      <c r="R1025" s="157"/>
      <c r="S1025" s="157"/>
      <c r="T1025" s="157"/>
      <c r="U1025" s="157"/>
      <c r="V1025" s="157"/>
      <c r="W1025" s="157"/>
      <c r="X1025" s="157"/>
      <c r="Y1025" s="157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